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dylann/Desktop/Workspace/DSA-Whatif/"/>
    </mc:Choice>
  </mc:AlternateContent>
  <xr:revisionPtr revIDLastSave="0" documentId="13_ncr:1_{E9A30013-AE76-914C-8E18-9ED753EFCD62}" xr6:coauthVersionLast="47" xr6:coauthVersionMax="47" xr10:uidLastSave="{00000000-0000-0000-0000-000000000000}"/>
  <bookViews>
    <workbookView xWindow="0" yWindow="660" windowWidth="29400" windowHeight="18460" xr2:uid="{A60188B9-612A-604A-B0A4-8D28EDA36197}"/>
  </bookViews>
  <sheets>
    <sheet name="DSA_What-If" sheetId="3" r:id="rId1"/>
    <sheet name="Blank Sheet" sheetId="2" state="hidden" r:id="rId2"/>
  </sheets>
  <definedNames>
    <definedName name="HCed">'DSA_What-If'!$M$23</definedName>
    <definedName name="HCedC">'DSA_What-If'!$M$28</definedName>
    <definedName name="HCedLE">'DSA_What-If'!$M$34</definedName>
    <definedName name="HCldC">'DSA_What-If'!$M$29</definedName>
    <definedName name="HCldLE">'DSA_What-If'!$M$35</definedName>
    <definedName name="ID">'DSA_What-If'!$AG$11</definedName>
    <definedName name="PCed">'DSA_What-If'!$M$22</definedName>
    <definedName name="PCedC">'DSA_What-If'!$M$26</definedName>
    <definedName name="PCedLE">'DSA_What-If'!$M$32</definedName>
    <definedName name="PCldC">'DSA_What-If'!$M$27</definedName>
    <definedName name="PCldLE">'DSA_What-If'!$M$33</definedName>
    <definedName name="RPed">'DSA_What-If'!$M$21</definedName>
    <definedName name="RPedC">'DSA_What-If'!$M$24</definedName>
    <definedName name="RPedLE">'DSA_What-If'!$M$30</definedName>
    <definedName name="RPldC">'DSA_What-If'!$M$25</definedName>
    <definedName name="RPldLE">'DSA_What-If'!$M$31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P34" i="3" l="1"/>
  <c r="AP8" i="3"/>
  <c r="AN13" i="3"/>
  <c r="AM13" i="3"/>
  <c r="H22" i="3"/>
  <c r="I22" i="3"/>
  <c r="H23" i="3"/>
  <c r="I23" i="3"/>
  <c r="H24" i="3"/>
  <c r="I24" i="3"/>
  <c r="H25" i="3"/>
  <c r="I25" i="3"/>
  <c r="H26" i="3"/>
  <c r="I26" i="3"/>
  <c r="H27" i="3"/>
  <c r="I27" i="3"/>
  <c r="H28" i="3"/>
  <c r="I28" i="3"/>
  <c r="H29" i="3"/>
  <c r="I29" i="3"/>
  <c r="H30" i="3"/>
  <c r="I30" i="3"/>
  <c r="H31" i="3"/>
  <c r="I31" i="3"/>
  <c r="H32" i="3"/>
  <c r="I32" i="3"/>
  <c r="H33" i="3"/>
  <c r="I33" i="3"/>
  <c r="H34" i="3"/>
  <c r="I34" i="3"/>
  <c r="H35" i="3"/>
  <c r="I35" i="3"/>
  <c r="I21" i="3"/>
  <c r="H21" i="3"/>
  <c r="AL13" i="3"/>
  <c r="AJ14" i="3"/>
  <c r="AK13" i="3"/>
  <c r="AI14" i="3"/>
  <c r="AH14" i="3"/>
  <c r="AG14" i="3"/>
  <c r="L35" i="3"/>
  <c r="L34" i="3"/>
  <c r="L33" i="3"/>
  <c r="L32" i="3"/>
  <c r="L31" i="3"/>
  <c r="L30" i="3"/>
  <c r="L29" i="3"/>
  <c r="L28" i="3"/>
  <c r="L27" i="3"/>
  <c r="L26" i="3"/>
  <c r="L25" i="3"/>
  <c r="L24" i="3"/>
  <c r="L23" i="3"/>
  <c r="L22" i="3"/>
  <c r="L21" i="3"/>
  <c r="K33" i="3"/>
  <c r="K22" i="3"/>
  <c r="K23" i="3"/>
  <c r="K24" i="3"/>
  <c r="K25" i="3"/>
  <c r="K26" i="3"/>
  <c r="K27" i="3"/>
  <c r="K28" i="3"/>
  <c r="K29" i="3"/>
  <c r="K30" i="3"/>
  <c r="K31" i="3"/>
  <c r="K32" i="3"/>
  <c r="K34" i="3"/>
  <c r="K35" i="3"/>
  <c r="K21" i="3"/>
  <c r="M23" i="3" l="1"/>
  <c r="Y22" i="3" s="1"/>
  <c r="Y26" i="3" s="1"/>
  <c r="M22" i="3"/>
  <c r="Y15" i="3" s="1"/>
  <c r="Y19" i="3" s="1"/>
  <c r="M30" i="3"/>
  <c r="AB8" i="3" s="1"/>
  <c r="AP36" i="3" a="1"/>
  <c r="AP10" i="3" a="1"/>
  <c r="M21" i="3"/>
  <c r="Y8" i="3" s="1"/>
  <c r="Y12" i="3" s="1"/>
  <c r="M28" i="3"/>
  <c r="AA22" i="3" s="1"/>
  <c r="M29" i="3"/>
  <c r="AA26" i="3" s="1"/>
  <c r="M25" i="3"/>
  <c r="AA12" i="3" s="1"/>
  <c r="M26" i="3"/>
  <c r="AA15" i="3" s="1"/>
  <c r="M24" i="3"/>
  <c r="AA8" i="3" s="1"/>
  <c r="M34" i="3"/>
  <c r="AB22" i="3" s="1"/>
  <c r="M27" i="3"/>
  <c r="AA19" i="3" s="1"/>
  <c r="M35" i="3"/>
  <c r="AB26" i="3" s="1"/>
  <c r="M31" i="3"/>
  <c r="AB12" i="3" s="1"/>
  <c r="M32" i="3"/>
  <c r="AB15" i="3" s="1"/>
  <c r="M33" i="3"/>
  <c r="AB19" i="3" s="1"/>
  <c r="S31" i="3" l="1"/>
  <c r="R31" i="3"/>
  <c r="R32" i="3"/>
  <c r="S32" i="3"/>
  <c r="S33" i="3"/>
  <c r="R33" i="3"/>
  <c r="U32" i="3" l="1"/>
  <c r="T32" i="3"/>
  <c r="U33" i="3"/>
  <c r="T33" i="3"/>
  <c r="AI15" i="3" l="1"/>
  <c r="W32" i="3"/>
  <c r="AJ15" i="3"/>
  <c r="W33" i="3"/>
  <c r="AG15" i="3"/>
  <c r="V32" i="3"/>
  <c r="AK14" i="3" s="1"/>
  <c r="V33" i="3"/>
  <c r="AL14" i="3" s="1"/>
  <c r="AH15" i="3"/>
  <c r="AM14" i="3" l="1"/>
  <c r="AV26" i="3"/>
  <c r="AN14" i="3"/>
  <c r="AV5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Yundi L</author>
  </authors>
  <commentList>
    <comment ref="AF16" authorId="0" shapeId="0" xr:uid="{3011B6A7-3545-0C41-A608-50759A7098CA}">
      <text>
        <r>
          <rPr>
            <b/>
            <sz val="10"/>
            <color rgb="FF000000"/>
            <rFont val="Tahoma"/>
            <family val="2"/>
          </rPr>
          <t>Yundi L:</t>
        </r>
        <r>
          <rPr>
            <sz val="10"/>
            <color rgb="FF000000"/>
            <rFont val="Tahoma"/>
            <family val="2"/>
          </rPr>
          <t xml:space="preserve">
</t>
        </r>
        <r>
          <rPr>
            <sz val="10"/>
            <color rgb="FF000000"/>
            <rFont val="Tahoma"/>
            <family val="2"/>
          </rPr>
          <t>Or, =SEQUENCE(MAX(L21:M35))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<sst xmlns="http://schemas.openxmlformats.org/spreadsheetml/2006/main" count="117" uniqueCount="95">
  <si>
    <t>BLANK SHEET TEMPLATE</t>
  </si>
  <si>
    <t>Introduction</t>
  </si>
  <si>
    <t>Background</t>
  </si>
  <si>
    <t>Routine Practice</t>
  </si>
  <si>
    <t>Primary Care</t>
  </si>
  <si>
    <t>Hospital Care</t>
  </si>
  <si>
    <t>Early detection</t>
  </si>
  <si>
    <t>Late detection</t>
  </si>
  <si>
    <t>Payoffs</t>
  </si>
  <si>
    <t>Cost</t>
  </si>
  <si>
    <t>Outcome</t>
  </si>
  <si>
    <t>2. The Decision Tree Model</t>
  </si>
  <si>
    <t>1. The Parameter Table</t>
  </si>
  <si>
    <t>Category</t>
  </si>
  <si>
    <t>Description</t>
  </si>
  <si>
    <t>Probability</t>
  </si>
  <si>
    <t>Probability of early detection in routine practice</t>
  </si>
  <si>
    <t>RPed</t>
  </si>
  <si>
    <t>Probability of early detection in primary care</t>
  </si>
  <si>
    <t>PCed</t>
  </si>
  <si>
    <t>Probability of early detection in hospital care</t>
  </si>
  <si>
    <t>HCed</t>
  </si>
  <si>
    <t>Cost of early detection in routine practice</t>
  </si>
  <si>
    <t>RPedC</t>
  </si>
  <si>
    <t>Cost of late detection in routine practice</t>
  </si>
  <si>
    <t>RPldC</t>
  </si>
  <si>
    <t>Cost of early detection in primary care</t>
  </si>
  <si>
    <t>PCedC</t>
  </si>
  <si>
    <t>Cost of late detection in primary care</t>
  </si>
  <si>
    <t>PCldC</t>
  </si>
  <si>
    <t>Cost of early detection in hospital care</t>
  </si>
  <si>
    <t>HCedC</t>
  </si>
  <si>
    <t>Cost of late detection in hospital care</t>
  </si>
  <si>
    <t>HCldC</t>
  </si>
  <si>
    <t>Life expectancy of early detection in routine practice</t>
  </si>
  <si>
    <t>RPedLE</t>
  </si>
  <si>
    <t>Life expectancy of late detection in routine practice</t>
  </si>
  <si>
    <t>RPldLE</t>
  </si>
  <si>
    <t>Life expectancy of early detection in primary care</t>
  </si>
  <si>
    <t>PCedLE</t>
  </si>
  <si>
    <t>Life expectancy of late detection in primary care</t>
  </si>
  <si>
    <t>PCldLE</t>
  </si>
  <si>
    <t>Life expectancy of early detection in hospital care</t>
  </si>
  <si>
    <t>HCedLE</t>
  </si>
  <si>
    <t>Life expectancy of late detection in hospital care</t>
  </si>
  <si>
    <t>HCldLE</t>
  </si>
  <si>
    <t>LL</t>
  </si>
  <si>
    <t>UL</t>
  </si>
  <si>
    <t>Deterministic Sensitivity Analysis (DSA) | What-If Analysis</t>
  </si>
  <si>
    <t>Results</t>
  </si>
  <si>
    <t>Expected cost</t>
  </si>
  <si>
    <t>Incremental cost</t>
  </si>
  <si>
    <t>Incremental effect</t>
  </si>
  <si>
    <t>ICER</t>
  </si>
  <si>
    <t>Expected outcome</t>
  </si>
  <si>
    <t>Model</t>
  </si>
  <si>
    <t>Instructions:</t>
  </si>
  <si>
    <t>Base</t>
  </si>
  <si>
    <t>For OWSA</t>
  </si>
  <si>
    <t>Name</t>
  </si>
  <si>
    <t>Include？</t>
  </si>
  <si>
    <t>LL ID</t>
  </si>
  <si>
    <t>UL ID</t>
  </si>
  <si>
    <t>Active</t>
  </si>
  <si>
    <t>Basecase</t>
  </si>
  <si>
    <t>Inc Cost</t>
  </si>
  <si>
    <t>Inc Outcome</t>
  </si>
  <si>
    <t>UL/LL Range：</t>
  </si>
  <si>
    <t>3. The Sensitivity Analysis | OWSA</t>
  </si>
  <si>
    <t>What-If Analysis</t>
  </si>
  <si>
    <t>Legends</t>
  </si>
  <si>
    <t>Parameter</t>
  </si>
  <si>
    <t>Scenario ID</t>
  </si>
  <si>
    <t>NMB</t>
  </si>
  <si>
    <t>WTP:</t>
  </si>
  <si>
    <t>INMB</t>
  </si>
  <si>
    <t>INMB - LL</t>
  </si>
  <si>
    <t>INMB - UL</t>
  </si>
  <si>
    <t>*ICERs and INMBs can be calculated  from inc costs &amp; outcomes</t>
  </si>
  <si>
    <t>OWSA Results</t>
  </si>
  <si>
    <t>ICER - LL</t>
  </si>
  <si>
    <t>ICER - UL</t>
  </si>
  <si>
    <t>ABS ICER</t>
  </si>
  <si>
    <t>ABS INMB</t>
  </si>
  <si>
    <t>*Incremental net monetary benefit (INMB) approach should be used if ICERs cross 0</t>
  </si>
  <si>
    <t>Basecase INMB:</t>
  </si>
  <si>
    <t>Column input cell:</t>
  </si>
  <si>
    <r>
      <rPr>
        <b/>
        <sz val="10"/>
        <color theme="1"/>
        <rFont val="Calibri"/>
        <family val="2"/>
      </rPr>
      <t xml:space="preserve">Step 1: </t>
    </r>
    <r>
      <rPr>
        <sz val="10"/>
        <color theme="1"/>
        <rFont val="Calibri"/>
        <family val="2"/>
      </rPr>
      <t>Select the dotted</t>
    </r>
  </si>
  <si>
    <t>AF14:AJ44</t>
  </si>
  <si>
    <t>area, choose "Data &gt; What-If Analysis &gt; Data Table"</t>
  </si>
  <si>
    <r>
      <t>Step 2:</t>
    </r>
    <r>
      <rPr>
        <sz val="10"/>
        <color theme="1"/>
        <rFont val="Calibri"/>
        <family val="2"/>
      </rPr>
      <t xml:space="preserve"> In the pop-up window, select below column input cell (AG12), leave row unput cell empty, click OK</t>
    </r>
    <r>
      <rPr>
        <b/>
        <sz val="10"/>
        <color theme="1"/>
        <rFont val="Calibri"/>
        <family val="2"/>
      </rPr>
      <t>.</t>
    </r>
  </si>
  <si>
    <t>Adjustable</t>
  </si>
  <si>
    <t>Not adjustable</t>
  </si>
  <si>
    <r>
      <t xml:space="preserve">This decision tree model is adapted from Chapter 8, Decision Analytic Modelling: Decision Trees, in Applied Methods of Cost-effectiveness Analysis in Health Care (Gray et al., 2011):
</t>
    </r>
    <r>
      <rPr>
        <b/>
        <sz val="10"/>
        <color theme="1"/>
        <rFont val="Calibri"/>
        <family val="2"/>
      </rPr>
      <t>Decision Problem: "You have been asked to assess the cost-effectiveness of two proposed alternatives to routine practice in the follow-up of patients who have had treatment for colorectal cancer. The alternatives are (1) a primary-care-based follow-up approach and (2) a hospital-based follow-up approach. Each strategy has two possible outcomes: early or late detection of cancer recurrence. The probabilities related to the possible outcomes for these alternative options are as follows. In primary care the probability of early detection is 0.4 and in the hospital strategy it is 0.45; in routine practice the rate of patients found to have early stage recurrence in one year is 43 out of 100 patients. The probability of early detection after follow-up in the primary care setting is represented by an uncertain probability value ranging from 0.36 to 0.44. The payoffs in the model are in terms of costs and outcomes (life-years). For each strategy, early detection is associated with a life expectancy of 7 years and late detection with a life expectancy of 1.5 years. In terms of costs, the primary-care-based strategy has a cost of £3900 for early detection and £12,800 for late detection. The hospital-based approach has a cost of £6200 for early detection and £14,400 for late detection. Routine practice has a cost of £3030 for early detection and £12,020 for late detection."</t>
    </r>
  </si>
  <si>
    <t>Source: Gray AM, Clarke PM, Wolstenholme JL, Wordsworth S. Applied Methods of Cost-effectiveness Analysis in Health Care. Oxford: Oxford University Press; 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</si>
</sst>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00"/>
    <numFmt numFmtId="165" formatCode="0.0"/>
    <numFmt numFmtId="166" formatCode="_(&quot;£&quot;* #,##0_);_(&quot;£&quot;* \(#,##0\);_(&quot;£&quot;* &quot;-&quot;??_);_(@_)"/>
    <numFmt numFmtId="167" formatCode="&quot;£&quot;#,##0.00"/>
    <numFmt numFmtId="168" formatCode="&quot;£&quot;#,##0"/>
  </numFmts>
  <fonts count="18" x14ac:knownFonts="1">
    <font>
      <sz val="12"/>
      <color theme="1"/>
      <name val="Aptos Narrow"/>
      <family val="2"/>
      <scheme val="minor"/>
    </font>
    <font>
      <sz val="12"/>
      <color theme="1"/>
      <name val="Calibri"/>
      <family val="2"/>
    </font>
    <font>
      <sz val="12"/>
      <color theme="0"/>
      <name val="Calibri"/>
      <family val="2"/>
    </font>
    <font>
      <b/>
      <sz val="12"/>
      <color theme="0"/>
      <name val="Calibri"/>
      <family val="2"/>
    </font>
    <font>
      <b/>
      <sz val="20"/>
      <color theme="0"/>
      <name val="Calibri"/>
      <family val="2"/>
    </font>
    <font>
      <sz val="10"/>
      <color theme="1"/>
      <name val="Calibri"/>
      <family val="2"/>
    </font>
    <font>
      <sz val="10"/>
      <color theme="0"/>
      <name val="Calibri"/>
      <family val="2"/>
    </font>
    <font>
      <sz val="12"/>
      <color theme="1"/>
      <name val="Aptos Narrow"/>
      <family val="2"/>
      <scheme val="minor"/>
    </font>
    <font>
      <b/>
      <sz val="10"/>
      <color theme="1"/>
      <name val="Calibri"/>
      <family val="2"/>
    </font>
    <font>
      <i/>
      <sz val="10"/>
      <color theme="1"/>
      <name val="Calibri"/>
      <family val="2"/>
    </font>
    <font>
      <b/>
      <sz val="12"/>
      <color theme="1"/>
      <name val="Calibri"/>
      <family val="2"/>
    </font>
    <font>
      <b/>
      <sz val="10"/>
      <color theme="0"/>
      <name val="Calibri"/>
      <family val="2"/>
    </font>
    <font>
      <sz val="20"/>
      <color theme="1"/>
      <name val="Calibri"/>
      <family val="2"/>
    </font>
    <font>
      <i/>
      <sz val="10"/>
      <color theme="1" tint="0.499984740745262"/>
      <name val="Calibri"/>
      <family val="2"/>
    </font>
    <font>
      <b/>
      <sz val="11"/>
      <color theme="1"/>
      <name val="Calibri"/>
      <family val="2"/>
    </font>
    <font>
      <sz val="10"/>
      <color rgb="FF000000"/>
      <name val="Tahoma"/>
      <family val="2"/>
    </font>
    <font>
      <b/>
      <sz val="10"/>
      <color rgb="FF000000"/>
      <name val="Tahoma"/>
      <family val="2"/>
    </font>
    <font>
      <b/>
      <i/>
      <sz val="8"/>
      <color theme="1" tint="0.499984740745262"/>
      <name val="Calibri"/>
      <family val="2"/>
    </font>
  </fonts>
  <fills count="13">
    <fill>
      <patternFill patternType="none"/>
    </fill>
    <fill>
      <patternFill patternType="gray125"/>
    </fill>
    <fill>
      <patternFill patternType="solid">
        <fgColor rgb="FFF5F7F8"/>
        <bgColor indexed="64"/>
      </patternFill>
    </fill>
    <fill>
      <patternFill patternType="solid">
        <fgColor rgb="FF002060"/>
        <bgColor indexed="64"/>
      </patternFill>
    </fill>
    <fill>
      <patternFill patternType="solid">
        <fgColor rgb="FFF5F8F9"/>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C000"/>
        <bgColor indexed="64"/>
      </patternFill>
    </fill>
    <fill>
      <patternFill patternType="solid">
        <fgColor theme="2"/>
        <bgColor indexed="64"/>
      </patternFill>
    </fill>
    <fill>
      <patternFill patternType="solid">
        <fgColor rgb="FF077F82"/>
        <bgColor indexed="64"/>
      </patternFill>
    </fill>
    <fill>
      <patternFill patternType="solid">
        <fgColor theme="2" tint="-9.9978637043366805E-2"/>
        <bgColor indexed="64"/>
      </patternFill>
    </fill>
  </fills>
  <borders count="44">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DashDot">
        <color indexed="64"/>
      </left>
      <right/>
      <top style="mediumDashDot">
        <color indexed="64"/>
      </top>
      <bottom/>
      <diagonal/>
    </border>
    <border>
      <left/>
      <right/>
      <top style="mediumDashDot">
        <color indexed="64"/>
      </top>
      <bottom/>
      <diagonal/>
    </border>
    <border>
      <left/>
      <right style="mediumDashDot">
        <color indexed="64"/>
      </right>
      <top style="mediumDashDot">
        <color indexed="64"/>
      </top>
      <bottom/>
      <diagonal/>
    </border>
    <border>
      <left style="mediumDashDot">
        <color indexed="64"/>
      </left>
      <right/>
      <top/>
      <bottom/>
      <diagonal/>
    </border>
    <border>
      <left/>
      <right style="mediumDashDot">
        <color indexed="64"/>
      </right>
      <top/>
      <bottom/>
      <diagonal/>
    </border>
    <border>
      <left style="mediumDashDot">
        <color indexed="64"/>
      </left>
      <right/>
      <top/>
      <bottom style="mediumDashDot">
        <color indexed="64"/>
      </bottom>
      <diagonal/>
    </border>
    <border>
      <left/>
      <right/>
      <top/>
      <bottom style="mediumDashDot">
        <color indexed="64"/>
      </bottom>
      <diagonal/>
    </border>
    <border>
      <left/>
      <right style="mediumDashDot">
        <color indexed="64"/>
      </right>
      <top/>
      <bottom style="mediumDashDot">
        <color indexed="64"/>
      </bottom>
      <diagonal/>
    </border>
    <border>
      <left style="mediumDashDot">
        <color indexed="64"/>
      </left>
      <right style="mediumDashDot">
        <color indexed="64"/>
      </right>
      <top style="mediumDashDot">
        <color indexed="64"/>
      </top>
      <bottom style="mediumDashDot">
        <color indexed="64"/>
      </bottom>
      <diagonal/>
    </border>
    <border>
      <left style="slantDashDot">
        <color indexed="64"/>
      </left>
      <right/>
      <top style="slantDashDot">
        <color indexed="64"/>
      </top>
      <bottom style="medium">
        <color indexed="64"/>
      </bottom>
      <diagonal/>
    </border>
    <border>
      <left/>
      <right/>
      <top style="slantDashDot">
        <color indexed="64"/>
      </top>
      <bottom style="medium">
        <color indexed="64"/>
      </bottom>
      <diagonal/>
    </border>
    <border>
      <left/>
      <right style="slantDashDot">
        <color indexed="64"/>
      </right>
      <top style="slantDashDot">
        <color indexed="64"/>
      </top>
      <bottom style="medium">
        <color indexed="64"/>
      </bottom>
      <diagonal/>
    </border>
    <border>
      <left style="slantDashDot">
        <color indexed="64"/>
      </left>
      <right style="thin">
        <color indexed="64"/>
      </right>
      <top style="medium">
        <color indexed="64"/>
      </top>
      <bottom style="thin">
        <color indexed="64"/>
      </bottom>
      <diagonal/>
    </border>
    <border>
      <left/>
      <right style="slantDashDot">
        <color indexed="64"/>
      </right>
      <top/>
      <bottom style="thin">
        <color indexed="64"/>
      </bottom>
      <diagonal/>
    </border>
    <border>
      <left style="slantDashDot">
        <color indexed="64"/>
      </left>
      <right style="thin">
        <color indexed="64"/>
      </right>
      <top style="thin">
        <color indexed="64"/>
      </top>
      <bottom style="thin">
        <color indexed="64"/>
      </bottom>
      <diagonal/>
    </border>
    <border>
      <left/>
      <right style="slantDashDot">
        <color indexed="64"/>
      </right>
      <top style="thin">
        <color indexed="64"/>
      </top>
      <bottom style="thin">
        <color indexed="64"/>
      </bottom>
      <diagonal/>
    </border>
    <border>
      <left style="slantDashDot">
        <color indexed="64"/>
      </left>
      <right style="thin">
        <color indexed="64"/>
      </right>
      <top style="thin">
        <color indexed="64"/>
      </top>
      <bottom style="slantDashDot">
        <color indexed="64"/>
      </bottom>
      <diagonal/>
    </border>
    <border>
      <left style="thin">
        <color indexed="64"/>
      </left>
      <right style="thin">
        <color indexed="64"/>
      </right>
      <top style="thin">
        <color indexed="64"/>
      </top>
      <bottom style="slantDashDot">
        <color indexed="64"/>
      </bottom>
      <diagonal/>
    </border>
    <border>
      <left/>
      <right style="slantDashDot">
        <color indexed="64"/>
      </right>
      <top style="thin">
        <color indexed="64"/>
      </top>
      <bottom style="slantDashDot">
        <color indexed="64"/>
      </bottom>
      <diagonal/>
    </border>
  </borders>
  <cellStyleXfs count="2">
    <xf numFmtId="0" fontId="0" fillId="0" borderId="0"/>
    <xf numFmtId="44" fontId="7" fillId="0" borderId="0" applyFont="0" applyFill="0" applyBorder="0" applyAlignment="0" applyProtection="0"/>
  </cellStyleXfs>
  <cellXfs count="167">
    <xf numFmtId="0" fontId="0" fillId="0" borderId="0" xfId="0"/>
    <xf numFmtId="0" fontId="2" fillId="3" borderId="6" xfId="0" applyFont="1" applyFill="1" applyBorder="1" applyAlignment="1">
      <alignment vertical="center"/>
    </xf>
    <xf numFmtId="0" fontId="2" fillId="3" borderId="7" xfId="0" applyFont="1" applyFill="1" applyBorder="1" applyAlignment="1">
      <alignment vertical="center"/>
    </xf>
    <xf numFmtId="0" fontId="3" fillId="3" borderId="7" xfId="0" applyFont="1" applyFill="1" applyBorder="1" applyAlignment="1">
      <alignment vertical="center"/>
    </xf>
    <xf numFmtId="0" fontId="3" fillId="3" borderId="8" xfId="0" applyFont="1" applyFill="1" applyBorder="1" applyAlignment="1">
      <alignment vertical="center"/>
    </xf>
    <xf numFmtId="0" fontId="1" fillId="3" borderId="0" xfId="0" applyFont="1" applyFill="1" applyAlignment="1">
      <alignment vertical="center"/>
    </xf>
    <xf numFmtId="0" fontId="5" fillId="2" borderId="5" xfId="0" applyFont="1" applyFill="1" applyBorder="1" applyAlignment="1">
      <alignment vertical="center"/>
    </xf>
    <xf numFmtId="0" fontId="5" fillId="2" borderId="4" xfId="0" applyFont="1" applyFill="1" applyBorder="1" applyAlignment="1">
      <alignment vertical="center"/>
    </xf>
    <xf numFmtId="0" fontId="5" fillId="2" borderId="3" xfId="0" applyFont="1" applyFill="1" applyBorder="1" applyAlignment="1">
      <alignment vertical="center"/>
    </xf>
    <xf numFmtId="0" fontId="5" fillId="2" borderId="2" xfId="0" applyFont="1" applyFill="1" applyBorder="1" applyAlignment="1">
      <alignment vertical="center"/>
    </xf>
    <xf numFmtId="0" fontId="5" fillId="2" borderId="1" xfId="0" applyFont="1" applyFill="1" applyBorder="1" applyAlignment="1">
      <alignment vertical="center"/>
    </xf>
    <xf numFmtId="0" fontId="6" fillId="0" borderId="0" xfId="0" applyFont="1" applyAlignment="1">
      <alignment vertical="center"/>
    </xf>
    <xf numFmtId="0" fontId="5" fillId="0" borderId="0" xfId="0" applyFont="1" applyAlignment="1">
      <alignment vertical="center"/>
    </xf>
    <xf numFmtId="0" fontId="5" fillId="2" borderId="0" xfId="0" applyFont="1" applyFill="1" applyAlignment="1">
      <alignment vertical="center"/>
    </xf>
    <xf numFmtId="0" fontId="5" fillId="4" borderId="0" xfId="0" applyFont="1" applyFill="1" applyAlignment="1">
      <alignment vertical="center"/>
    </xf>
    <xf numFmtId="0" fontId="5" fillId="2" borderId="9" xfId="0" applyFont="1" applyFill="1" applyBorder="1" applyAlignment="1">
      <alignment vertical="center"/>
    </xf>
    <xf numFmtId="0" fontId="5" fillId="2" borderId="11" xfId="0" applyFont="1" applyFill="1" applyBorder="1" applyAlignment="1">
      <alignment vertical="center"/>
    </xf>
    <xf numFmtId="0" fontId="5" fillId="2" borderId="10" xfId="0" applyFont="1" applyFill="1" applyBorder="1" applyAlignment="1">
      <alignment vertical="center"/>
    </xf>
    <xf numFmtId="0" fontId="5" fillId="2" borderId="12" xfId="0" applyFont="1" applyFill="1" applyBorder="1" applyAlignment="1">
      <alignment vertical="center"/>
    </xf>
    <xf numFmtId="0" fontId="5" fillId="2" borderId="14" xfId="0" applyFont="1" applyFill="1" applyBorder="1" applyAlignment="1">
      <alignment vertical="center"/>
    </xf>
    <xf numFmtId="0" fontId="5" fillId="2" borderId="15" xfId="0" applyFont="1" applyFill="1" applyBorder="1" applyAlignment="1">
      <alignment vertical="center"/>
    </xf>
    <xf numFmtId="0" fontId="5" fillId="2" borderId="16" xfId="0" applyFont="1" applyFill="1" applyBorder="1" applyAlignment="1">
      <alignment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8" fillId="2" borderId="0" xfId="0" applyFont="1" applyFill="1" applyAlignment="1">
      <alignment vertical="center"/>
    </xf>
    <xf numFmtId="0" fontId="8" fillId="2" borderId="0" xfId="0" applyFont="1" applyFill="1" applyAlignment="1">
      <alignment horizontal="center" vertical="center"/>
    </xf>
    <xf numFmtId="0" fontId="4" fillId="3" borderId="0" xfId="0" applyFont="1" applyFill="1" applyAlignment="1">
      <alignment vertical="center"/>
    </xf>
    <xf numFmtId="0" fontId="8" fillId="2" borderId="9" xfId="0" applyFont="1" applyFill="1" applyBorder="1" applyAlignment="1">
      <alignment horizontal="center" vertical="center"/>
    </xf>
    <xf numFmtId="0" fontId="3" fillId="4" borderId="0" xfId="0" applyFont="1" applyFill="1" applyAlignment="1">
      <alignment vertical="center"/>
    </xf>
    <xf numFmtId="0" fontId="2" fillId="4" borderId="0" xfId="0" applyFont="1" applyFill="1" applyAlignment="1">
      <alignment vertical="center"/>
    </xf>
    <xf numFmtId="0" fontId="2" fillId="4" borderId="4" xfId="0" applyFont="1" applyFill="1" applyBorder="1" applyAlignment="1">
      <alignment vertical="center"/>
    </xf>
    <xf numFmtId="2" fontId="5" fillId="5" borderId="18" xfId="0" applyNumberFormat="1" applyFont="1" applyFill="1" applyBorder="1" applyAlignment="1">
      <alignment horizontal="center" vertical="center"/>
    </xf>
    <xf numFmtId="0" fontId="5" fillId="5" borderId="18" xfId="0" applyFont="1" applyFill="1" applyBorder="1" applyAlignment="1">
      <alignment horizontal="center" vertical="center"/>
    </xf>
    <xf numFmtId="2" fontId="5" fillId="5" borderId="17" xfId="0" applyNumberFormat="1" applyFont="1" applyFill="1" applyBorder="1" applyAlignment="1">
      <alignment horizontal="center" vertical="center"/>
    </xf>
    <xf numFmtId="0" fontId="5" fillId="5" borderId="17" xfId="0" applyFont="1" applyFill="1" applyBorder="1" applyAlignment="1">
      <alignment horizontal="center" vertical="center"/>
    </xf>
    <xf numFmtId="0" fontId="5" fillId="5" borderId="18" xfId="0" applyFont="1" applyFill="1" applyBorder="1" applyAlignment="1">
      <alignment vertical="center"/>
    </xf>
    <xf numFmtId="0" fontId="5" fillId="5" borderId="17" xfId="0" applyFont="1" applyFill="1" applyBorder="1" applyAlignment="1">
      <alignment vertical="center"/>
    </xf>
    <xf numFmtId="0" fontId="5" fillId="6" borderId="17" xfId="0" applyFont="1" applyFill="1" applyBorder="1" applyAlignment="1">
      <alignment vertical="center"/>
    </xf>
    <xf numFmtId="0" fontId="5" fillId="7" borderId="17" xfId="0" applyFont="1" applyFill="1" applyBorder="1" applyAlignment="1">
      <alignment horizontal="center" vertical="center"/>
    </xf>
    <xf numFmtId="0" fontId="5" fillId="7" borderId="17" xfId="0" applyFont="1" applyFill="1" applyBorder="1" applyAlignment="1">
      <alignment vertical="center"/>
    </xf>
    <xf numFmtId="165" fontId="5" fillId="7" borderId="17" xfId="0" applyNumberFormat="1" applyFont="1" applyFill="1" applyBorder="1" applyAlignment="1">
      <alignment horizontal="center" vertical="center"/>
    </xf>
    <xf numFmtId="0" fontId="5" fillId="0" borderId="19" xfId="0" applyFont="1" applyBorder="1" applyAlignment="1">
      <alignment vertical="center"/>
    </xf>
    <xf numFmtId="0" fontId="5" fillId="4" borderId="4" xfId="0" applyFont="1" applyFill="1" applyBorder="1" applyAlignment="1">
      <alignment vertical="center"/>
    </xf>
    <xf numFmtId="0" fontId="8" fillId="10" borderId="17" xfId="0" applyFont="1" applyFill="1" applyBorder="1" applyAlignment="1">
      <alignment vertical="center"/>
    </xf>
    <xf numFmtId="0" fontId="9" fillId="5" borderId="18" xfId="0" applyFont="1" applyFill="1" applyBorder="1" applyAlignment="1">
      <alignment horizontal="center" vertical="center"/>
    </xf>
    <xf numFmtId="0" fontId="9" fillId="5" borderId="17" xfId="0" applyFont="1" applyFill="1" applyBorder="1" applyAlignment="1">
      <alignment horizontal="center" vertical="center"/>
    </xf>
    <xf numFmtId="0" fontId="9" fillId="6" borderId="17" xfId="0" applyFont="1" applyFill="1" applyBorder="1" applyAlignment="1">
      <alignment horizontal="center" vertical="center"/>
    </xf>
    <xf numFmtId="0" fontId="9" fillId="7" borderId="17" xfId="0" applyFont="1" applyFill="1" applyBorder="1" applyAlignment="1">
      <alignment horizontal="center" vertical="center"/>
    </xf>
    <xf numFmtId="2" fontId="5" fillId="8" borderId="17" xfId="0" applyNumberFormat="1" applyFont="1" applyFill="1" applyBorder="1" applyAlignment="1">
      <alignment horizontal="center" vertical="center"/>
    </xf>
    <xf numFmtId="2" fontId="5" fillId="2" borderId="0" xfId="0" applyNumberFormat="1" applyFont="1" applyFill="1" applyAlignment="1">
      <alignment horizontal="center" vertical="center"/>
    </xf>
    <xf numFmtId="166" fontId="5" fillId="2" borderId="0" xfId="1" applyNumberFormat="1" applyFont="1" applyFill="1" applyBorder="1" applyAlignment="1">
      <alignment horizontal="center" vertical="center"/>
    </xf>
    <xf numFmtId="165" fontId="5" fillId="2" borderId="0" xfId="0" applyNumberFormat="1" applyFont="1" applyFill="1" applyAlignment="1">
      <alignment horizontal="center" vertical="center"/>
    </xf>
    <xf numFmtId="164" fontId="5" fillId="5" borderId="17" xfId="0" applyNumberFormat="1" applyFont="1" applyFill="1" applyBorder="1" applyAlignment="1">
      <alignment horizontal="center" vertical="center"/>
    </xf>
    <xf numFmtId="0" fontId="10" fillId="4" borderId="0" xfId="0" applyFont="1" applyFill="1" applyAlignment="1">
      <alignment vertical="center"/>
    </xf>
    <xf numFmtId="0" fontId="10" fillId="2" borderId="0" xfId="0" applyFont="1" applyFill="1" applyAlignment="1">
      <alignment vertical="center"/>
    </xf>
    <xf numFmtId="0" fontId="5" fillId="4" borderId="5" xfId="0" applyFont="1" applyFill="1" applyBorder="1" applyAlignment="1">
      <alignment vertical="center"/>
    </xf>
    <xf numFmtId="0" fontId="5" fillId="6" borderId="17"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20" xfId="0" applyFont="1" applyFill="1" applyBorder="1" applyAlignment="1">
      <alignment horizontal="center" vertical="center"/>
    </xf>
    <xf numFmtId="0" fontId="5" fillId="7" borderId="20" xfId="0" applyFont="1" applyFill="1" applyBorder="1" applyAlignment="1">
      <alignment horizontal="center" vertical="center"/>
    </xf>
    <xf numFmtId="0" fontId="5" fillId="5" borderId="24" xfId="0" applyFont="1" applyFill="1" applyBorder="1" applyAlignment="1">
      <alignment horizontal="center" vertical="center"/>
    </xf>
    <xf numFmtId="0" fontId="5" fillId="4" borderId="0" xfId="0" applyFont="1" applyFill="1" applyAlignment="1">
      <alignment horizontal="center" vertical="center"/>
    </xf>
    <xf numFmtId="0" fontId="4" fillId="3" borderId="0" xfId="0" applyFont="1" applyFill="1" applyAlignment="1">
      <alignment horizontal="center" vertical="center"/>
    </xf>
    <xf numFmtId="0" fontId="2" fillId="3" borderId="7" xfId="0" applyFont="1" applyFill="1" applyBorder="1" applyAlignment="1">
      <alignment horizontal="center" vertical="center"/>
    </xf>
    <xf numFmtId="0" fontId="5" fillId="0" borderId="0" xfId="0" applyFont="1" applyAlignment="1">
      <alignment horizontal="center" vertical="center"/>
    </xf>
    <xf numFmtId="0" fontId="3" fillId="3" borderId="7" xfId="0" applyFont="1" applyFill="1" applyBorder="1" applyAlignment="1">
      <alignment horizontal="left" vertical="center"/>
    </xf>
    <xf numFmtId="167" fontId="5" fillId="4" borderId="0" xfId="1" applyNumberFormat="1" applyFont="1" applyFill="1" applyAlignment="1">
      <alignment horizontal="center" vertical="center"/>
    </xf>
    <xf numFmtId="167" fontId="5" fillId="0" borderId="0" xfId="1" applyNumberFormat="1" applyFont="1" applyAlignment="1">
      <alignment horizontal="center" vertical="center"/>
    </xf>
    <xf numFmtId="167" fontId="4" fillId="3" borderId="0" xfId="1" applyNumberFormat="1" applyFont="1" applyFill="1" applyAlignment="1">
      <alignment horizontal="center" vertical="center"/>
    </xf>
    <xf numFmtId="167" fontId="5" fillId="0" borderId="0" xfId="0" applyNumberFormat="1" applyFont="1" applyAlignment="1">
      <alignment horizontal="center" vertical="center"/>
    </xf>
    <xf numFmtId="167" fontId="5" fillId="6" borderId="17" xfId="0" applyNumberFormat="1" applyFont="1" applyFill="1" applyBorder="1" applyAlignment="1">
      <alignment horizontal="center" vertical="center"/>
    </xf>
    <xf numFmtId="167" fontId="5" fillId="6" borderId="17" xfId="1" applyNumberFormat="1" applyFont="1" applyFill="1" applyBorder="1" applyAlignment="1">
      <alignment horizontal="center" vertical="center"/>
    </xf>
    <xf numFmtId="168" fontId="5" fillId="6" borderId="17" xfId="1" applyNumberFormat="1" applyFont="1" applyFill="1" applyBorder="1" applyAlignment="1">
      <alignment horizontal="center" vertical="center"/>
    </xf>
    <xf numFmtId="168" fontId="5" fillId="6" borderId="20" xfId="1" applyNumberFormat="1" applyFont="1" applyFill="1" applyBorder="1" applyAlignment="1">
      <alignment horizontal="center" vertical="center"/>
    </xf>
    <xf numFmtId="0" fontId="11" fillId="11" borderId="25" xfId="0" applyFont="1" applyFill="1" applyBorder="1" applyAlignment="1">
      <alignment horizontal="center" vertical="center"/>
    </xf>
    <xf numFmtId="167" fontId="11" fillId="11" borderId="26" xfId="1" applyNumberFormat="1" applyFont="1" applyFill="1" applyBorder="1" applyAlignment="1">
      <alignment horizontal="center" vertical="center"/>
    </xf>
    <xf numFmtId="0" fontId="11" fillId="11" borderId="26" xfId="0" applyFont="1" applyFill="1" applyBorder="1" applyAlignment="1">
      <alignment horizontal="center" vertical="center"/>
    </xf>
    <xf numFmtId="0" fontId="5" fillId="4" borderId="28" xfId="0" applyFont="1" applyFill="1" applyBorder="1" applyAlignment="1">
      <alignment horizontal="center" vertical="center"/>
    </xf>
    <xf numFmtId="167" fontId="5" fillId="4" borderId="0" xfId="1" applyNumberFormat="1" applyFont="1" applyFill="1" applyBorder="1" applyAlignment="1">
      <alignment horizontal="center" vertical="center"/>
    </xf>
    <xf numFmtId="0" fontId="5" fillId="4" borderId="30" xfId="0" applyFont="1" applyFill="1" applyBorder="1" applyAlignment="1">
      <alignment horizontal="center" vertical="center"/>
    </xf>
    <xf numFmtId="167" fontId="5" fillId="4" borderId="31" xfId="1" applyNumberFormat="1" applyFont="1" applyFill="1" applyBorder="1" applyAlignment="1">
      <alignment horizontal="center" vertical="center"/>
    </xf>
    <xf numFmtId="0" fontId="5" fillId="4" borderId="31" xfId="0" applyFont="1" applyFill="1" applyBorder="1" applyAlignment="1">
      <alignment horizontal="center" vertical="center"/>
    </xf>
    <xf numFmtId="0" fontId="9" fillId="4" borderId="0" xfId="0" applyFont="1" applyFill="1" applyAlignment="1">
      <alignment horizontal="right" vertical="center"/>
    </xf>
    <xf numFmtId="9" fontId="9" fillId="9" borderId="0" xfId="0" applyNumberFormat="1" applyFont="1" applyFill="1" applyAlignment="1">
      <alignment horizontal="center" vertical="center"/>
    </xf>
    <xf numFmtId="0" fontId="8" fillId="4" borderId="9" xfId="0" applyFont="1" applyFill="1" applyBorder="1" applyAlignment="1">
      <alignment horizontal="center" vertical="center"/>
    </xf>
    <xf numFmtId="0" fontId="1" fillId="3" borderId="7" xfId="0" applyFont="1" applyFill="1" applyBorder="1" applyAlignment="1">
      <alignment horizontal="center" vertical="center"/>
    </xf>
    <xf numFmtId="0" fontId="12" fillId="3" borderId="0" xfId="0" applyFont="1" applyFill="1" applyAlignment="1">
      <alignment horizontal="center" vertical="center"/>
    </xf>
    <xf numFmtId="0" fontId="6" fillId="11" borderId="17" xfId="0" applyFont="1" applyFill="1" applyBorder="1" applyAlignment="1">
      <alignment vertical="center"/>
    </xf>
    <xf numFmtId="0" fontId="11" fillId="11" borderId="17" xfId="0" applyFont="1" applyFill="1" applyBorder="1" applyAlignment="1">
      <alignment horizontal="center" vertical="center"/>
    </xf>
    <xf numFmtId="0" fontId="8" fillId="4" borderId="0" xfId="0" applyFont="1" applyFill="1" applyAlignment="1">
      <alignment horizontal="right" vertical="center"/>
    </xf>
    <xf numFmtId="168" fontId="8" fillId="9" borderId="0" xfId="0" applyNumberFormat="1" applyFont="1" applyFill="1" applyAlignment="1">
      <alignment horizontal="center" vertical="center"/>
    </xf>
    <xf numFmtId="164" fontId="11" fillId="11" borderId="27" xfId="0" applyNumberFormat="1" applyFont="1" applyFill="1" applyBorder="1" applyAlignment="1">
      <alignment horizontal="center" vertical="center"/>
    </xf>
    <xf numFmtId="164" fontId="5" fillId="4" borderId="29" xfId="0" applyNumberFormat="1" applyFont="1" applyFill="1" applyBorder="1" applyAlignment="1">
      <alignment horizontal="center" vertical="center"/>
    </xf>
    <xf numFmtId="164" fontId="5" fillId="4" borderId="32" xfId="0" applyNumberFormat="1" applyFont="1" applyFill="1" applyBorder="1" applyAlignment="1">
      <alignment horizontal="center" vertical="center"/>
    </xf>
    <xf numFmtId="0" fontId="5" fillId="2" borderId="0" xfId="0" applyFont="1" applyFill="1" applyAlignment="1">
      <alignment vertical="top" wrapText="1"/>
    </xf>
    <xf numFmtId="0" fontId="5" fillId="4" borderId="3" xfId="0" applyFont="1" applyFill="1" applyBorder="1" applyAlignment="1">
      <alignment vertical="center"/>
    </xf>
    <xf numFmtId="0" fontId="5" fillId="4" borderId="2" xfId="0" applyFont="1" applyFill="1" applyBorder="1" applyAlignment="1">
      <alignment horizontal="center" vertical="center"/>
    </xf>
    <xf numFmtId="167" fontId="5" fillId="4" borderId="2" xfId="1" applyNumberFormat="1" applyFont="1" applyFill="1" applyBorder="1" applyAlignment="1">
      <alignment horizontal="center" vertical="center"/>
    </xf>
    <xf numFmtId="167" fontId="5" fillId="4" borderId="2" xfId="0" applyNumberFormat="1" applyFont="1" applyFill="1" applyBorder="1" applyAlignment="1">
      <alignment horizontal="center" vertical="center"/>
    </xf>
    <xf numFmtId="0" fontId="5" fillId="4" borderId="1" xfId="0" applyFont="1" applyFill="1" applyBorder="1" applyAlignment="1">
      <alignment vertical="center"/>
    </xf>
    <xf numFmtId="0" fontId="5" fillId="4" borderId="9" xfId="0" applyFont="1" applyFill="1" applyBorder="1" applyAlignment="1">
      <alignment horizontal="left" vertical="center"/>
    </xf>
    <xf numFmtId="167" fontId="5" fillId="4" borderId="9" xfId="0" applyNumberFormat="1" applyFont="1" applyFill="1" applyBorder="1" applyAlignment="1">
      <alignment horizontal="center" vertical="center"/>
    </xf>
    <xf numFmtId="0" fontId="10" fillId="2" borderId="0" xfId="0" applyFont="1" applyFill="1" applyAlignment="1">
      <alignment horizontal="left" vertical="center"/>
    </xf>
    <xf numFmtId="167" fontId="5" fillId="4" borderId="0" xfId="0" applyNumberFormat="1" applyFont="1" applyFill="1" applyAlignment="1">
      <alignment horizontal="center" vertical="center"/>
    </xf>
    <xf numFmtId="0" fontId="8" fillId="4" borderId="0" xfId="0" applyFont="1" applyFill="1" applyAlignment="1">
      <alignment horizontal="center" vertical="center"/>
    </xf>
    <xf numFmtId="0" fontId="5" fillId="4" borderId="0" xfId="0" applyFont="1" applyFill="1" applyAlignment="1">
      <alignment horizontal="left" vertical="center"/>
    </xf>
    <xf numFmtId="164" fontId="5" fillId="4" borderId="0" xfId="0" applyNumberFormat="1" applyFont="1" applyFill="1" applyAlignment="1">
      <alignment horizontal="center" vertical="center"/>
    </xf>
    <xf numFmtId="167" fontId="11" fillId="11" borderId="0" xfId="0" applyNumberFormat="1" applyFont="1" applyFill="1" applyAlignment="1">
      <alignment horizontal="center" vertical="center"/>
    </xf>
    <xf numFmtId="0" fontId="11" fillId="4" borderId="0" xfId="0" applyFont="1" applyFill="1" applyAlignment="1">
      <alignment horizontal="center" vertical="center"/>
    </xf>
    <xf numFmtId="0" fontId="13" fillId="2" borderId="0" xfId="0" applyFont="1" applyFill="1" applyAlignment="1">
      <alignment horizontal="left" vertical="center"/>
    </xf>
    <xf numFmtId="0" fontId="8" fillId="12" borderId="0" xfId="0" applyFont="1" applyFill="1" applyAlignment="1">
      <alignment horizontal="center" vertical="center"/>
    </xf>
    <xf numFmtId="167" fontId="8" fillId="12" borderId="0" xfId="0" applyNumberFormat="1" applyFont="1" applyFill="1" applyAlignment="1">
      <alignment horizontal="center" vertical="center"/>
    </xf>
    <xf numFmtId="0" fontId="5" fillId="4" borderId="7" xfId="0" applyFont="1" applyFill="1" applyBorder="1" applyAlignment="1">
      <alignment vertical="center"/>
    </xf>
    <xf numFmtId="0" fontId="5" fillId="4" borderId="6" xfId="0" applyFont="1" applyFill="1" applyBorder="1" applyAlignment="1">
      <alignment vertical="center"/>
    </xf>
    <xf numFmtId="0" fontId="5" fillId="4" borderId="2" xfId="0" applyFont="1" applyFill="1" applyBorder="1" applyAlignment="1">
      <alignment vertical="center"/>
    </xf>
    <xf numFmtId="0" fontId="8" fillId="4" borderId="8" xfId="0" applyFont="1" applyFill="1" applyBorder="1" applyAlignment="1">
      <alignment horizontal="right" vertical="center"/>
    </xf>
    <xf numFmtId="0" fontId="8" fillId="4" borderId="2" xfId="0" applyFont="1" applyFill="1" applyBorder="1" applyAlignment="1">
      <alignment vertical="center"/>
    </xf>
    <xf numFmtId="0" fontId="13" fillId="4" borderId="33" xfId="0" applyFont="1" applyFill="1" applyBorder="1" applyAlignment="1">
      <alignment horizontal="center" vertical="center"/>
    </xf>
    <xf numFmtId="167" fontId="5" fillId="4" borderId="17" xfId="0" applyNumberFormat="1" applyFont="1" applyFill="1" applyBorder="1" applyAlignment="1">
      <alignment horizontal="center" vertical="center"/>
    </xf>
    <xf numFmtId="0" fontId="5" fillId="4" borderId="17" xfId="0" applyFont="1" applyFill="1" applyBorder="1" applyAlignment="1">
      <alignment horizontal="center" vertical="center"/>
    </xf>
    <xf numFmtId="0" fontId="8" fillId="12" borderId="23" xfId="0" applyFont="1" applyFill="1" applyBorder="1" applyAlignment="1">
      <alignment horizontal="center" vertical="center"/>
    </xf>
    <xf numFmtId="0" fontId="5" fillId="2" borderId="0" xfId="0" applyFont="1" applyFill="1" applyAlignment="1">
      <alignment vertical="center" wrapText="1"/>
    </xf>
    <xf numFmtId="0" fontId="5" fillId="9" borderId="17" xfId="0" applyFont="1" applyFill="1" applyBorder="1" applyAlignment="1">
      <alignment vertical="top" wrapText="1"/>
    </xf>
    <xf numFmtId="0" fontId="5" fillId="12" borderId="17" xfId="0" applyFont="1" applyFill="1" applyBorder="1" applyAlignment="1">
      <alignment vertical="top" wrapText="1"/>
    </xf>
    <xf numFmtId="0" fontId="5" fillId="2" borderId="5" xfId="0" applyFont="1" applyFill="1" applyBorder="1" applyAlignment="1">
      <alignment vertical="top" wrapText="1"/>
    </xf>
    <xf numFmtId="0" fontId="8" fillId="2" borderId="34" xfId="0" applyFont="1" applyFill="1" applyBorder="1" applyAlignment="1">
      <alignment horizontal="center" vertical="center"/>
    </xf>
    <xf numFmtId="0" fontId="8" fillId="2" borderId="35" xfId="0" applyFont="1" applyFill="1" applyBorder="1" applyAlignment="1">
      <alignment horizontal="center" vertical="center"/>
    </xf>
    <xf numFmtId="0" fontId="8" fillId="2" borderId="36" xfId="0" applyFont="1" applyFill="1" applyBorder="1" applyAlignment="1">
      <alignment horizontal="center" vertical="center"/>
    </xf>
    <xf numFmtId="0" fontId="8" fillId="5" borderId="37" xfId="0" applyFont="1" applyFill="1" applyBorder="1" applyAlignment="1">
      <alignment horizontal="center" vertical="center"/>
    </xf>
    <xf numFmtId="2" fontId="5" fillId="5" borderId="38" xfId="0" applyNumberFormat="1" applyFont="1" applyFill="1" applyBorder="1" applyAlignment="1">
      <alignment horizontal="center" vertical="center"/>
    </xf>
    <xf numFmtId="0" fontId="8" fillId="5" borderId="39" xfId="0" applyFont="1" applyFill="1" applyBorder="1" applyAlignment="1">
      <alignment horizontal="center" vertical="center"/>
    </xf>
    <xf numFmtId="2" fontId="5" fillId="5" borderId="40" xfId="0" applyNumberFormat="1" applyFont="1" applyFill="1" applyBorder="1" applyAlignment="1">
      <alignment horizontal="center" vertical="center"/>
    </xf>
    <xf numFmtId="0" fontId="8" fillId="6" borderId="39" xfId="1" applyNumberFormat="1" applyFont="1" applyFill="1" applyBorder="1" applyAlignment="1">
      <alignment horizontal="center" vertical="center"/>
    </xf>
    <xf numFmtId="168" fontId="5" fillId="6" borderId="40" xfId="1" applyNumberFormat="1" applyFont="1" applyFill="1" applyBorder="1" applyAlignment="1">
      <alignment horizontal="center" vertical="center"/>
    </xf>
    <xf numFmtId="0" fontId="8" fillId="7" borderId="39" xfId="0" applyFont="1" applyFill="1" applyBorder="1" applyAlignment="1">
      <alignment horizontal="center" vertical="center"/>
    </xf>
    <xf numFmtId="165" fontId="5" fillId="7" borderId="40" xfId="0" applyNumberFormat="1" applyFont="1" applyFill="1" applyBorder="1" applyAlignment="1">
      <alignment horizontal="center" vertical="center"/>
    </xf>
    <xf numFmtId="0" fontId="8" fillId="7" borderId="41" xfId="0" applyFont="1" applyFill="1" applyBorder="1" applyAlignment="1">
      <alignment horizontal="center" vertical="center"/>
    </xf>
    <xf numFmtId="0" fontId="5" fillId="7" borderId="42" xfId="0" applyFont="1" applyFill="1" applyBorder="1" applyAlignment="1">
      <alignment horizontal="center" vertical="center"/>
    </xf>
    <xf numFmtId="165" fontId="5" fillId="7" borderId="43" xfId="0" applyNumberFormat="1" applyFont="1" applyFill="1" applyBorder="1" applyAlignment="1">
      <alignment horizontal="center" vertical="center"/>
    </xf>
    <xf numFmtId="0" fontId="8" fillId="4" borderId="31" xfId="0" applyFont="1" applyFill="1" applyBorder="1" applyAlignment="1">
      <alignment horizontal="center" vertical="center"/>
    </xf>
    <xf numFmtId="0" fontId="17" fillId="2" borderId="0" xfId="0" applyFont="1" applyFill="1" applyAlignment="1">
      <alignment vertical="top"/>
    </xf>
    <xf numFmtId="0" fontId="5" fillId="6" borderId="17" xfId="0" applyFont="1" applyFill="1" applyBorder="1" applyAlignment="1">
      <alignment horizontal="center" vertical="center"/>
    </xf>
    <xf numFmtId="0" fontId="5" fillId="7" borderId="17"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9" xfId="0" applyFont="1" applyFill="1" applyBorder="1" applyAlignment="1">
      <alignment horizontal="center" vertical="center"/>
    </xf>
    <xf numFmtId="0" fontId="4" fillId="3" borderId="0" xfId="0" applyFont="1" applyFill="1" applyAlignment="1">
      <alignment horizontal="left" vertical="center"/>
    </xf>
    <xf numFmtId="0" fontId="5" fillId="2" borderId="8"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0" xfId="0" applyFont="1" applyFill="1" applyAlignment="1">
      <alignment horizontal="left" vertical="top" wrapText="1"/>
    </xf>
    <xf numFmtId="0" fontId="5" fillId="2" borderId="4"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2" xfId="0" applyFont="1" applyFill="1" applyBorder="1" applyAlignment="1">
      <alignment horizontal="left" vertical="top" wrapText="1"/>
    </xf>
    <xf numFmtId="0" fontId="5" fillId="2" borderId="1" xfId="0" applyFont="1" applyFill="1" applyBorder="1" applyAlignment="1">
      <alignment horizontal="left" vertical="top" wrapText="1"/>
    </xf>
    <xf numFmtId="0" fontId="5" fillId="5" borderId="18" xfId="0" applyFont="1" applyFill="1" applyBorder="1" applyAlignment="1">
      <alignment horizontal="center" vertical="center"/>
    </xf>
    <xf numFmtId="0" fontId="5" fillId="5" borderId="17" xfId="0" applyFont="1" applyFill="1" applyBorder="1" applyAlignment="1">
      <alignment horizontal="center" vertical="center"/>
    </xf>
    <xf numFmtId="0" fontId="10" fillId="4" borderId="0" xfId="0" applyFont="1" applyFill="1" applyAlignment="1">
      <alignment horizontal="center" vertical="center"/>
    </xf>
    <xf numFmtId="0" fontId="8" fillId="2" borderId="9" xfId="0" applyFont="1" applyFill="1" applyBorder="1" applyAlignment="1">
      <alignment horizontal="center" vertical="center"/>
    </xf>
    <xf numFmtId="0" fontId="10" fillId="4" borderId="15" xfId="0" applyFont="1" applyFill="1" applyBorder="1" applyAlignment="1">
      <alignment horizontal="center" vertical="center"/>
    </xf>
    <xf numFmtId="0" fontId="8" fillId="4" borderId="9" xfId="0" applyFont="1" applyFill="1" applyBorder="1" applyAlignment="1">
      <alignment horizontal="center" vertical="center"/>
    </xf>
    <xf numFmtId="167" fontId="13" fillId="4" borderId="0" xfId="0" applyNumberFormat="1" applyFont="1" applyFill="1" applyAlignment="1">
      <alignment horizontal="center" vertical="center"/>
    </xf>
    <xf numFmtId="0" fontId="5" fillId="4" borderId="20" xfId="0" applyFont="1" applyFill="1" applyBorder="1" applyAlignment="1">
      <alignment horizontal="center" vertical="center"/>
    </xf>
    <xf numFmtId="0" fontId="5" fillId="4" borderId="21" xfId="0" applyFont="1" applyFill="1" applyBorder="1" applyAlignment="1">
      <alignment horizontal="center" vertical="center"/>
    </xf>
    <xf numFmtId="0" fontId="5" fillId="4" borderId="22" xfId="0" applyFont="1" applyFill="1" applyBorder="1" applyAlignment="1">
      <alignment horizontal="center" vertical="center"/>
    </xf>
    <xf numFmtId="0" fontId="14" fillId="4" borderId="9" xfId="0" applyFont="1" applyFill="1" applyBorder="1" applyAlignment="1">
      <alignment horizontal="center" vertical="center"/>
    </xf>
    <xf numFmtId="0" fontId="8" fillId="2" borderId="0" xfId="0" applyFont="1" applyFill="1" applyBorder="1" applyAlignment="1">
      <alignment horizontal="center" vertical="center" wrapText="1"/>
    </xf>
  </cellXfs>
  <cellStyles count="2">
    <cellStyle name="Currency" xfId="1" builtinId="4"/>
    <cellStyle name="Normal" xfId="0" builtinId="0"/>
  </cellStyles>
  <dxfs count="0"/>
  <tableStyles count="0" defaultTableStyle="TableStyleMedium2" defaultPivotStyle="PivotStyleLight16"/>
  <colors>
    <mruColors>
      <color rgb="FFF5F8F9"/>
      <color rgb="FF077F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929537216973421"/>
          <c:y val="5.8312644910549563E-2"/>
          <c:w val="0.50323695564778459"/>
          <c:h val="0.79537473905028233"/>
        </c:manualLayout>
      </c:layout>
      <c:barChart>
        <c:barDir val="bar"/>
        <c:grouping val="clustered"/>
        <c:varyColors val="0"/>
        <c:ser>
          <c:idx val="0"/>
          <c:order val="0"/>
          <c:tx>
            <c:strRef>
              <c:f>'DSA_What-If'!$AT$9</c:f>
              <c:strCache>
                <c:ptCount val="1"/>
                <c:pt idx="0">
                  <c:v>INMB - LL</c:v>
                </c:pt>
              </c:strCache>
            </c:strRef>
          </c:tx>
          <c:spPr>
            <a:solidFill>
              <a:schemeClr val="accent4">
                <a:lumMod val="40000"/>
                <a:lumOff val="60000"/>
              </a:schemeClr>
            </a:solidFill>
            <a:ln>
              <a:solidFill>
                <a:schemeClr val="bg2">
                  <a:lumMod val="50000"/>
                </a:schemeClr>
              </a:solidFill>
            </a:ln>
            <a:effectLst/>
          </c:spPr>
          <c:invertIfNegative val="0"/>
          <c:cat>
            <c:strRef>
              <c:f>'DSA_What-If'!$AP$10:$AP$19</c:f>
              <c:strCache>
                <c:ptCount val="10"/>
                <c:pt idx="0">
                  <c:v>Life expectancy of early detection in primary care (6.3, 7.7)</c:v>
                </c:pt>
                <c:pt idx="1">
                  <c:v>Life expectancy of early detection in routine practice (6.3, 7.7)</c:v>
                </c:pt>
                <c:pt idx="2">
                  <c:v>Probability of early detection in primary care (0.36, 0.44)</c:v>
                </c:pt>
                <c:pt idx="3">
                  <c:v>Probability of early detection in routine practice (0.315, 0.385)</c:v>
                </c:pt>
                <c:pt idx="4">
                  <c:v>Life expectancy of late detection in routine practice (1.35, 1.65)</c:v>
                </c:pt>
                <c:pt idx="5">
                  <c:v>Life expectancy of late detection in primary care (1.35, 1.65)</c:v>
                </c:pt>
                <c:pt idx="6">
                  <c:v>Cost of late detection in routine practice (10,818., 13,222.)</c:v>
                </c:pt>
                <c:pt idx="7">
                  <c:v>Cost of late detection in primary care (11,520., 14,080.)</c:v>
                </c:pt>
                <c:pt idx="8">
                  <c:v>Cost of early detection in primary care (3,510., 4,290.)</c:v>
                </c:pt>
                <c:pt idx="9">
                  <c:v>Cost of early detection in routine practice (2,727., 3,333.)</c:v>
                </c:pt>
              </c:strCache>
            </c:strRef>
          </c:cat>
          <c:val>
            <c:numRef>
              <c:f>'DSA_What-If'!$AT$10:$AT$19</c:f>
              <c:numCache>
                <c:formatCode>"£"#,##0.00</c:formatCode>
                <c:ptCount val="10"/>
                <c:pt idx="0">
                  <c:v>-466.49999999999784</c:v>
                </c:pt>
                <c:pt idx="1">
                  <c:v>10033.500000000009</c:v>
                </c:pt>
                <c:pt idx="2">
                  <c:v>377.50000000001205</c:v>
                </c:pt>
                <c:pt idx="3">
                  <c:v>9298.1500000000069</c:v>
                </c:pt>
                <c:pt idx="4">
                  <c:v>7083.50000000001</c:v>
                </c:pt>
                <c:pt idx="5">
                  <c:v>3333.50000000001</c:v>
                </c:pt>
                <c:pt idx="6">
                  <c:v>4352.2000000000071</c:v>
                </c:pt>
                <c:pt idx="7">
                  <c:v>5901.5000000000073</c:v>
                </c:pt>
                <c:pt idx="8">
                  <c:v>5289.5000000000073</c:v>
                </c:pt>
                <c:pt idx="9">
                  <c:v>5027.450000000008</c:v>
                </c:pt>
              </c:numCache>
            </c:numRef>
          </c:val>
          <c:extLst>
            <c:ext xmlns:c16="http://schemas.microsoft.com/office/drawing/2014/chart" uri="{C3380CC4-5D6E-409C-BE32-E72D297353CC}">
              <c16:uniqueId val="{00000000-0FF4-A446-82D1-2C59C8B928CD}"/>
            </c:ext>
          </c:extLst>
        </c:ser>
        <c:ser>
          <c:idx val="1"/>
          <c:order val="1"/>
          <c:tx>
            <c:strRef>
              <c:f>'DSA_What-If'!$AU$9</c:f>
              <c:strCache>
                <c:ptCount val="1"/>
                <c:pt idx="0">
                  <c:v>INMB - UL</c:v>
                </c:pt>
              </c:strCache>
            </c:strRef>
          </c:tx>
          <c:spPr>
            <a:solidFill>
              <a:srgbClr val="0070C0"/>
            </a:solidFill>
            <a:ln>
              <a:solidFill>
                <a:schemeClr val="bg2">
                  <a:lumMod val="50000"/>
                </a:schemeClr>
              </a:solidFill>
            </a:ln>
            <a:effectLst/>
          </c:spPr>
          <c:invertIfNegative val="0"/>
          <c:cat>
            <c:strRef>
              <c:f>'DSA_What-If'!$AP$10:$AP$19</c:f>
              <c:strCache>
                <c:ptCount val="10"/>
                <c:pt idx="0">
                  <c:v>Life expectancy of early detection in primary care (6.3, 7.7)</c:v>
                </c:pt>
                <c:pt idx="1">
                  <c:v>Life expectancy of early detection in routine practice (6.3, 7.7)</c:v>
                </c:pt>
                <c:pt idx="2">
                  <c:v>Probability of early detection in primary care (0.36, 0.44)</c:v>
                </c:pt>
                <c:pt idx="3">
                  <c:v>Probability of early detection in routine practice (0.315, 0.385)</c:v>
                </c:pt>
                <c:pt idx="4">
                  <c:v>Life expectancy of late detection in routine practice (1.35, 1.65)</c:v>
                </c:pt>
                <c:pt idx="5">
                  <c:v>Life expectancy of late detection in primary care (1.35, 1.65)</c:v>
                </c:pt>
                <c:pt idx="6">
                  <c:v>Cost of late detection in routine practice (10,818., 13,222.)</c:v>
                </c:pt>
                <c:pt idx="7">
                  <c:v>Cost of late detection in primary care (11,520., 14,080.)</c:v>
                </c:pt>
                <c:pt idx="8">
                  <c:v>Cost of early detection in primary care (3,510., 4,290.)</c:v>
                </c:pt>
                <c:pt idx="9">
                  <c:v>Cost of early detection in routine practice (2,727., 3,333.)</c:v>
                </c:pt>
              </c:strCache>
            </c:strRef>
          </c:cat>
          <c:val>
            <c:numRef>
              <c:f>'DSA_What-If'!$AU$10:$AU$19</c:f>
              <c:numCache>
                <c:formatCode>"£"#,##0.00</c:formatCode>
                <c:ptCount val="10"/>
                <c:pt idx="0">
                  <c:v>10733.500000000013</c:v>
                </c:pt>
                <c:pt idx="1">
                  <c:v>233.49999999999613</c:v>
                </c:pt>
                <c:pt idx="2">
                  <c:v>9889.5000000000109</c:v>
                </c:pt>
                <c:pt idx="3">
                  <c:v>968.85000000000082</c:v>
                </c:pt>
                <c:pt idx="4">
                  <c:v>3183.5000000000041</c:v>
                </c:pt>
                <c:pt idx="5">
                  <c:v>6933.5000000000045</c:v>
                </c:pt>
                <c:pt idx="6">
                  <c:v>5914.8000000000084</c:v>
                </c:pt>
                <c:pt idx="7">
                  <c:v>4365.5000000000073</c:v>
                </c:pt>
                <c:pt idx="8">
                  <c:v>4977.5000000000073</c:v>
                </c:pt>
                <c:pt idx="9">
                  <c:v>5239.5500000000065</c:v>
                </c:pt>
              </c:numCache>
            </c:numRef>
          </c:val>
          <c:extLst>
            <c:ext xmlns:c16="http://schemas.microsoft.com/office/drawing/2014/chart" uri="{C3380CC4-5D6E-409C-BE32-E72D297353CC}">
              <c16:uniqueId val="{00000001-0FF4-A446-82D1-2C59C8B928CD}"/>
            </c:ext>
          </c:extLst>
        </c:ser>
        <c:dLbls>
          <c:showLegendKey val="0"/>
          <c:showVal val="0"/>
          <c:showCatName val="0"/>
          <c:showSerName val="0"/>
          <c:showPercent val="0"/>
          <c:showBubbleSize val="0"/>
        </c:dLbls>
        <c:gapWidth val="60"/>
        <c:overlap val="100"/>
        <c:axId val="1607709008"/>
        <c:axId val="1607710736"/>
      </c:barChart>
      <c:catAx>
        <c:axId val="1607709008"/>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10736"/>
        <c:crossesAt val="5133.5"/>
        <c:auto val="1"/>
        <c:lblAlgn val="ctr"/>
        <c:lblOffset val="300"/>
        <c:noMultiLvlLbl val="0"/>
      </c:catAx>
      <c:valAx>
        <c:axId val="1607710736"/>
        <c:scaling>
          <c:orientation val="minMax"/>
          <c:max val="11000"/>
          <c:min val="-500"/>
        </c:scaling>
        <c:delete val="0"/>
        <c:axPos val="t"/>
        <c:majorGridlines>
          <c:spPr>
            <a:ln w="9525" cap="flat" cmpd="sng" algn="ctr">
              <a:solidFill>
                <a:schemeClr val="tx1">
                  <a:lumMod val="15000"/>
                  <a:lumOff val="85000"/>
                </a:schemeClr>
              </a:solidFill>
              <a:prstDash val="lgDash"/>
              <a:round/>
            </a:ln>
            <a:effectLst/>
          </c:spPr>
        </c:majorGridlines>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r>
                  <a:rPr lang="en-US" sz="1000" b="1"/>
                  <a:t>Incremental</a:t>
                </a:r>
                <a:r>
                  <a:rPr lang="zh-CN" sz="1000" b="1"/>
                  <a:t> </a:t>
                </a:r>
                <a:r>
                  <a:rPr lang="en-US" sz="1000" b="1"/>
                  <a:t>Net</a:t>
                </a:r>
                <a:r>
                  <a:rPr lang="zh-CN" sz="1000" b="1"/>
                  <a:t> </a:t>
                </a:r>
                <a:r>
                  <a:rPr lang="en-US" sz="1000" b="1"/>
                  <a:t>Monetary</a:t>
                </a:r>
                <a:r>
                  <a:rPr lang="zh-CN" sz="1000" b="1"/>
                  <a:t> </a:t>
                </a:r>
                <a:r>
                  <a:rPr lang="en-US" sz="1000" b="1"/>
                  <a:t>Benefit</a:t>
                </a:r>
              </a:p>
            </c:rich>
          </c:tx>
          <c:layout>
            <c:manualLayout>
              <c:xMode val="edge"/>
              <c:yMode val="edge"/>
              <c:x val="0.56837091015796937"/>
              <c:y val="0.9228746719160104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endParaRPr lang="en-US"/>
            </a:p>
          </c:txPr>
        </c:title>
        <c:numFmt formatCode="&quot;£&quot;#,##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09008"/>
        <c:crosses val="autoZero"/>
        <c:crossBetween val="between"/>
        <c:majorUnit val="2000"/>
        <c:min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legend>
    <c:plotVisOnly val="1"/>
    <c:dispBlanksAs val="gap"/>
    <c:showDLblsOverMax val="0"/>
  </c:chart>
  <c:spPr>
    <a:solidFill>
      <a:schemeClr val="bg1"/>
    </a:solidFill>
    <a:ln w="9525" cap="flat" cmpd="sng" algn="ctr">
      <a:solidFill>
        <a:schemeClr val="tx1"/>
      </a:solidFill>
      <a:round/>
    </a:ln>
    <a:effectLst/>
  </c:spPr>
  <c:txPr>
    <a:bodyPr/>
    <a:lstStyle/>
    <a:p>
      <a:pPr>
        <a:defRPr sz="900" b="0" i="0">
          <a:solidFill>
            <a:schemeClr val="tx1">
              <a:lumMod val="75000"/>
              <a:lumOff val="25000"/>
            </a:schemeClr>
          </a:solidFill>
          <a:latin typeface="Helvetica" pitchFamily="2" charset="0"/>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5845377450656277"/>
          <c:y val="5.8312644910549563E-2"/>
          <c:w val="0.50407855827559545"/>
          <c:h val="0.79537473905028233"/>
        </c:manualLayout>
      </c:layout>
      <c:barChart>
        <c:barDir val="bar"/>
        <c:grouping val="clustered"/>
        <c:varyColors val="0"/>
        <c:ser>
          <c:idx val="0"/>
          <c:order val="0"/>
          <c:tx>
            <c:strRef>
              <c:f>'DSA_What-If'!$AT$35</c:f>
              <c:strCache>
                <c:ptCount val="1"/>
                <c:pt idx="0">
                  <c:v>INMB - LL</c:v>
                </c:pt>
              </c:strCache>
            </c:strRef>
          </c:tx>
          <c:spPr>
            <a:solidFill>
              <a:schemeClr val="accent4">
                <a:lumMod val="40000"/>
                <a:lumOff val="60000"/>
              </a:schemeClr>
            </a:solidFill>
            <a:ln>
              <a:solidFill>
                <a:schemeClr val="bg2">
                  <a:lumMod val="50000"/>
                </a:schemeClr>
              </a:solidFill>
            </a:ln>
            <a:effectLst/>
          </c:spPr>
          <c:invertIfNegative val="0"/>
          <c:cat>
            <c:strRef>
              <c:f>'DSA_What-If'!$AP$36:$AP$45</c:f>
              <c:strCache>
                <c:ptCount val="10"/>
                <c:pt idx="0">
                  <c:v>Life expectancy of early detection in hospital care (6.3, 7.7)</c:v>
                </c:pt>
                <c:pt idx="1">
                  <c:v>Life expectancy of early detection in primary care (6.3, 7.7)</c:v>
                </c:pt>
                <c:pt idx="2">
                  <c:v>Probability of early detection in hospital care (0.405, 0.495)</c:v>
                </c:pt>
                <c:pt idx="3">
                  <c:v>Probability of early detection in primary care (0.36, 0.44)</c:v>
                </c:pt>
                <c:pt idx="4">
                  <c:v>Life expectancy of late detection in primary care (1.35, 1.65)</c:v>
                </c:pt>
                <c:pt idx="5">
                  <c:v>Life expectancy of late detection in hospital care (1.35, 1.65)</c:v>
                </c:pt>
                <c:pt idx="6">
                  <c:v>Cost of late detection in hospital care (12,960., 15,840.)</c:v>
                </c:pt>
                <c:pt idx="7">
                  <c:v>Cost of late detection in primary care (11,520., 14,080.)</c:v>
                </c:pt>
                <c:pt idx="8">
                  <c:v>Cost of early detection in hospital care (5,580., 6,820.)</c:v>
                </c:pt>
                <c:pt idx="9">
                  <c:v>Cost of early detection in primary care (3,510., 4,290.)</c:v>
                </c:pt>
              </c:strCache>
            </c:strRef>
          </c:cat>
          <c:val>
            <c:numRef>
              <c:f>'DSA_What-If'!$AT$36:$AT$45</c:f>
              <c:numCache>
                <c:formatCode>"£"#,##0.00</c:formatCode>
                <c:ptCount val="10"/>
                <c:pt idx="0">
                  <c:v>-2270.0000000000009</c:v>
                </c:pt>
                <c:pt idx="1">
                  <c:v>9630.0000000000036</c:v>
                </c:pt>
                <c:pt idx="2">
                  <c:v>-1289.0000000000027</c:v>
                </c:pt>
                <c:pt idx="3">
                  <c:v>8785.9999999999927</c:v>
                </c:pt>
                <c:pt idx="4">
                  <c:v>5829.9999999999955</c:v>
                </c:pt>
                <c:pt idx="5">
                  <c:v>2379.9999999999977</c:v>
                </c:pt>
                <c:pt idx="6">
                  <c:v>4821.9999999999982</c:v>
                </c:pt>
                <c:pt idx="7">
                  <c:v>3261.9999999999982</c:v>
                </c:pt>
                <c:pt idx="8">
                  <c:v>4308.9999999999982</c:v>
                </c:pt>
                <c:pt idx="9">
                  <c:v>3873.9999999999982</c:v>
                </c:pt>
              </c:numCache>
            </c:numRef>
          </c:val>
          <c:extLst>
            <c:ext xmlns:c16="http://schemas.microsoft.com/office/drawing/2014/chart" uri="{C3380CC4-5D6E-409C-BE32-E72D297353CC}">
              <c16:uniqueId val="{00000000-0FF4-A446-82D1-2C59C8B928CD}"/>
            </c:ext>
          </c:extLst>
        </c:ser>
        <c:ser>
          <c:idx val="1"/>
          <c:order val="1"/>
          <c:tx>
            <c:strRef>
              <c:f>'DSA_What-If'!$AU$35</c:f>
              <c:strCache>
                <c:ptCount val="1"/>
                <c:pt idx="0">
                  <c:v>INMB - UL</c:v>
                </c:pt>
              </c:strCache>
            </c:strRef>
          </c:tx>
          <c:spPr>
            <a:solidFill>
              <a:srgbClr val="0070C0"/>
            </a:solidFill>
            <a:ln>
              <a:solidFill>
                <a:schemeClr val="bg2">
                  <a:lumMod val="50000"/>
                </a:schemeClr>
              </a:solidFill>
            </a:ln>
            <a:effectLst/>
          </c:spPr>
          <c:invertIfNegative val="0"/>
          <c:cat>
            <c:strRef>
              <c:f>'DSA_What-If'!$AP$36:$AP$45</c:f>
              <c:strCache>
                <c:ptCount val="10"/>
                <c:pt idx="0">
                  <c:v>Life expectancy of early detection in hospital care (6.3, 7.7)</c:v>
                </c:pt>
                <c:pt idx="1">
                  <c:v>Life expectancy of early detection in primary care (6.3, 7.7)</c:v>
                </c:pt>
                <c:pt idx="2">
                  <c:v>Probability of early detection in hospital care (0.405, 0.495)</c:v>
                </c:pt>
                <c:pt idx="3">
                  <c:v>Probability of early detection in primary care (0.36, 0.44)</c:v>
                </c:pt>
                <c:pt idx="4">
                  <c:v>Life expectancy of late detection in primary care (1.35, 1.65)</c:v>
                </c:pt>
                <c:pt idx="5">
                  <c:v>Life expectancy of late detection in hospital care (1.35, 1.65)</c:v>
                </c:pt>
                <c:pt idx="6">
                  <c:v>Cost of late detection in hospital care (12,960., 15,840.)</c:v>
                </c:pt>
                <c:pt idx="7">
                  <c:v>Cost of late detection in primary care (11,520., 14,080.)</c:v>
                </c:pt>
                <c:pt idx="8">
                  <c:v>Cost of early detection in hospital care (5,580., 6,820.)</c:v>
                </c:pt>
                <c:pt idx="9">
                  <c:v>Cost of early detection in primary care (3,510., 4,290.)</c:v>
                </c:pt>
              </c:strCache>
            </c:strRef>
          </c:cat>
          <c:val>
            <c:numRef>
              <c:f>'DSA_What-If'!$AU$36:$AU$45</c:f>
              <c:numCache>
                <c:formatCode>"£"#,##0.00</c:formatCode>
                <c:ptCount val="10"/>
                <c:pt idx="0">
                  <c:v>10330.000000000015</c:v>
                </c:pt>
                <c:pt idx="1">
                  <c:v>-1570.0000000000068</c:v>
                </c:pt>
                <c:pt idx="2">
                  <c:v>9349.0000000000018</c:v>
                </c:pt>
                <c:pt idx="3">
                  <c:v>-726.00000000000568</c:v>
                </c:pt>
                <c:pt idx="4">
                  <c:v>2230.0000000000009</c:v>
                </c:pt>
                <c:pt idx="5">
                  <c:v>5679.9999999999982</c:v>
                </c:pt>
                <c:pt idx="6">
                  <c:v>3237.9999999999964</c:v>
                </c:pt>
                <c:pt idx="7">
                  <c:v>4797.9999999999982</c:v>
                </c:pt>
                <c:pt idx="8">
                  <c:v>3750.9999999999964</c:v>
                </c:pt>
                <c:pt idx="9">
                  <c:v>4185.9999999999982</c:v>
                </c:pt>
              </c:numCache>
            </c:numRef>
          </c:val>
          <c:extLst>
            <c:ext xmlns:c16="http://schemas.microsoft.com/office/drawing/2014/chart" uri="{C3380CC4-5D6E-409C-BE32-E72D297353CC}">
              <c16:uniqueId val="{00000001-0FF4-A446-82D1-2C59C8B928CD}"/>
            </c:ext>
          </c:extLst>
        </c:ser>
        <c:dLbls>
          <c:showLegendKey val="0"/>
          <c:showVal val="0"/>
          <c:showCatName val="0"/>
          <c:showSerName val="0"/>
          <c:showPercent val="0"/>
          <c:showBubbleSize val="0"/>
        </c:dLbls>
        <c:gapWidth val="60"/>
        <c:overlap val="100"/>
        <c:axId val="1607709008"/>
        <c:axId val="1607710736"/>
      </c:barChart>
      <c:catAx>
        <c:axId val="1607709008"/>
        <c:scaling>
          <c:orientation val="maxMin"/>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10736"/>
        <c:crossesAt val="4030"/>
        <c:auto val="1"/>
        <c:lblAlgn val="ctr"/>
        <c:lblOffset val="300"/>
        <c:noMultiLvlLbl val="0"/>
      </c:catAx>
      <c:valAx>
        <c:axId val="1607710736"/>
        <c:scaling>
          <c:orientation val="minMax"/>
          <c:max val="11000"/>
          <c:min val="-2500"/>
        </c:scaling>
        <c:delete val="0"/>
        <c:axPos val="t"/>
        <c:majorGridlines>
          <c:spPr>
            <a:ln w="9525" cap="flat" cmpd="sng" algn="ctr">
              <a:solidFill>
                <a:schemeClr val="tx1">
                  <a:lumMod val="15000"/>
                  <a:lumOff val="85000"/>
                </a:schemeClr>
              </a:solidFill>
              <a:prstDash val="lgDash"/>
              <a:round/>
            </a:ln>
            <a:effectLst/>
          </c:spPr>
        </c:majorGridlines>
        <c:title>
          <c:tx>
            <c:rich>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r>
                  <a:rPr lang="en-US" sz="1000" b="1"/>
                  <a:t>Incremental</a:t>
                </a:r>
                <a:r>
                  <a:rPr lang="zh-CN" sz="1000" b="1"/>
                  <a:t> </a:t>
                </a:r>
                <a:r>
                  <a:rPr lang="en-US" sz="1000" b="1"/>
                  <a:t>Net</a:t>
                </a:r>
                <a:r>
                  <a:rPr lang="zh-CN" sz="1000" b="1"/>
                  <a:t> </a:t>
                </a:r>
                <a:r>
                  <a:rPr lang="en-US" sz="1000" b="1"/>
                  <a:t>Monetary</a:t>
                </a:r>
                <a:r>
                  <a:rPr lang="zh-CN" sz="1000" b="1"/>
                  <a:t> </a:t>
                </a:r>
                <a:r>
                  <a:rPr lang="en-US" sz="1000" b="1"/>
                  <a:t>Benefit</a:t>
                </a:r>
              </a:p>
            </c:rich>
          </c:tx>
          <c:layout>
            <c:manualLayout>
              <c:xMode val="edge"/>
              <c:yMode val="edge"/>
              <c:x val="0.56837091015796937"/>
              <c:y val="0.9228746719160104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Helvetica" pitchFamily="2" charset="0"/>
                  <a:ea typeface="+mn-ea"/>
                  <a:cs typeface="+mn-cs"/>
                </a:defRPr>
              </a:pPr>
              <a:endParaRPr lang="en-US"/>
            </a:p>
          </c:txPr>
        </c:title>
        <c:numFmt formatCode="&quot;£&quot;#,##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crossAx val="1607709008"/>
        <c:crosses val="autoZero"/>
        <c:crossBetween val="between"/>
        <c:majorUnit val="2000"/>
        <c:minorUnit val="5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Helvetica" pitchFamily="2" charset="0"/>
              <a:ea typeface="+mn-ea"/>
              <a:cs typeface="+mn-cs"/>
            </a:defRPr>
          </a:pPr>
          <a:endParaRPr lang="zh-CN"/>
        </a:p>
      </c:txPr>
    </c:legend>
    <c:plotVisOnly val="1"/>
    <c:dispBlanksAs val="gap"/>
    <c:showDLblsOverMax val="0"/>
  </c:chart>
  <c:spPr>
    <a:solidFill>
      <a:schemeClr val="bg1"/>
    </a:solidFill>
    <a:ln w="9525" cap="flat" cmpd="sng" algn="ctr">
      <a:solidFill>
        <a:schemeClr val="tx1"/>
      </a:solidFill>
      <a:round/>
    </a:ln>
    <a:effectLst/>
  </c:spPr>
  <c:txPr>
    <a:bodyPr/>
    <a:lstStyle/>
    <a:p>
      <a:pPr>
        <a:defRPr sz="900" b="0" i="0">
          <a:solidFill>
            <a:schemeClr val="tx1">
              <a:lumMod val="75000"/>
              <a:lumOff val="25000"/>
            </a:schemeClr>
          </a:solidFill>
          <a:latin typeface="Helvetica" pitchFamily="2" charset="0"/>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pPr>
            <a:r>
              <a:rPr lang="en-US" sz="1000" b="1"/>
              <a:t>Incremental Cost-Effectiveness</a:t>
            </a:r>
          </a:p>
        </c:rich>
      </c:tx>
      <c:overlay val="1"/>
    </c:title>
    <c:autoTitleDeleted val="0"/>
    <c:plotArea>
      <c:layout>
        <c:manualLayout>
          <c:layoutTarget val="inner"/>
          <c:xMode val="edge"/>
          <c:yMode val="edge"/>
          <c:x val="0.15462527229803136"/>
          <c:y val="0.12669683257918551"/>
          <c:w val="0.74985843303035471"/>
          <c:h val="0.76244343891402711"/>
        </c:manualLayout>
      </c:layout>
      <c:scatterChart>
        <c:scatterStyle val="smoothMarker"/>
        <c:varyColors val="0"/>
        <c:ser>
          <c:idx val="0"/>
          <c:order val="1"/>
          <c:tx>
            <c:strRef>
              <c:f>'DSA_What-If'!$Q$31</c:f>
              <c:strCache>
                <c:ptCount val="1"/>
                <c:pt idx="0">
                  <c:v>Routine Practice</c:v>
                </c:pt>
              </c:strCache>
            </c:strRef>
          </c:tx>
          <c:spPr>
            <a:ln w="38100">
              <a:noFill/>
            </a:ln>
          </c:spPr>
          <c:marker>
            <c:symbol val="diamond"/>
            <c:size val="10"/>
            <c:spPr>
              <a:solidFill>
                <a:schemeClr val="tx1">
                  <a:lumMod val="50000"/>
                  <a:lumOff val="50000"/>
                </a:schemeClr>
              </a:solidFill>
              <a:ln>
                <a:noFill/>
                <a:prstDash val="solid"/>
              </a:ln>
            </c:spPr>
          </c:marker>
          <c:xVal>
            <c:numRef>
              <c:f>'DSA_What-If'!$S$31</c:f>
              <c:numCache>
                <c:formatCode>0.000</c:formatCode>
                <c:ptCount val="1"/>
                <c:pt idx="0">
                  <c:v>3.4249999999999998</c:v>
                </c:pt>
              </c:numCache>
            </c:numRef>
          </c:xVal>
          <c:yVal>
            <c:numRef>
              <c:f>'DSA_What-If'!$R$31</c:f>
              <c:numCache>
                <c:formatCode>"£"#,##0.00</c:formatCode>
                <c:ptCount val="1"/>
                <c:pt idx="0">
                  <c:v>8873.5</c:v>
                </c:pt>
              </c:numCache>
            </c:numRef>
          </c:yVal>
          <c:smooth val="1"/>
          <c:extLst>
            <c:ext xmlns:c16="http://schemas.microsoft.com/office/drawing/2014/chart" uri="{C3380CC4-5D6E-409C-BE32-E72D297353CC}">
              <c16:uniqueId val="{00000000-A9AD-0243-94C8-C421FA923781}"/>
            </c:ext>
          </c:extLst>
        </c:ser>
        <c:ser>
          <c:idx val="1"/>
          <c:order val="2"/>
          <c:tx>
            <c:strRef>
              <c:f>'DSA_What-If'!$Q$32</c:f>
              <c:strCache>
                <c:ptCount val="1"/>
                <c:pt idx="0">
                  <c:v>Primary Care</c:v>
                </c:pt>
              </c:strCache>
            </c:strRef>
          </c:tx>
          <c:spPr>
            <a:ln w="38100">
              <a:noFill/>
            </a:ln>
          </c:spPr>
          <c:marker>
            <c:symbol val="square"/>
            <c:size val="10"/>
            <c:spPr>
              <a:solidFill>
                <a:srgbClr val="0070C0"/>
              </a:solidFill>
              <a:ln>
                <a:noFill/>
                <a:prstDash val="solid"/>
              </a:ln>
            </c:spPr>
          </c:marker>
          <c:xVal>
            <c:numRef>
              <c:f>'DSA_What-If'!$S$32</c:f>
              <c:numCache>
                <c:formatCode>0.000</c:formatCode>
                <c:ptCount val="1"/>
                <c:pt idx="0">
                  <c:v>3.7</c:v>
                </c:pt>
              </c:numCache>
            </c:numRef>
          </c:xVal>
          <c:yVal>
            <c:numRef>
              <c:f>'DSA_What-If'!$R$32</c:f>
              <c:numCache>
                <c:formatCode>"£"#,##0.00</c:formatCode>
                <c:ptCount val="1"/>
                <c:pt idx="0">
                  <c:v>9240</c:v>
                </c:pt>
              </c:numCache>
            </c:numRef>
          </c:yVal>
          <c:smooth val="1"/>
          <c:extLst>
            <c:ext xmlns:c16="http://schemas.microsoft.com/office/drawing/2014/chart" uri="{C3380CC4-5D6E-409C-BE32-E72D297353CC}">
              <c16:uniqueId val="{00000001-A9AD-0243-94C8-C421FA923781}"/>
            </c:ext>
          </c:extLst>
        </c:ser>
        <c:ser>
          <c:idx val="2"/>
          <c:order val="3"/>
          <c:tx>
            <c:strRef>
              <c:f>'DSA_What-If'!$Q$33</c:f>
              <c:strCache>
                <c:ptCount val="1"/>
                <c:pt idx="0">
                  <c:v>Hospital Care</c:v>
                </c:pt>
              </c:strCache>
            </c:strRef>
          </c:tx>
          <c:spPr>
            <a:ln w="38100">
              <a:noFill/>
            </a:ln>
          </c:spPr>
          <c:marker>
            <c:symbol val="triangle"/>
            <c:size val="10"/>
            <c:spPr>
              <a:solidFill>
                <a:srgbClr val="002060"/>
              </a:solidFill>
              <a:ln>
                <a:noFill/>
                <a:prstDash val="solid"/>
              </a:ln>
            </c:spPr>
          </c:marker>
          <c:xVal>
            <c:numRef>
              <c:f>'DSA_What-If'!$S$33</c:f>
              <c:numCache>
                <c:formatCode>0.000</c:formatCode>
                <c:ptCount val="1"/>
                <c:pt idx="0">
                  <c:v>3.9750000000000001</c:v>
                </c:pt>
              </c:numCache>
            </c:numRef>
          </c:xVal>
          <c:yVal>
            <c:numRef>
              <c:f>'DSA_What-If'!$R$33</c:f>
              <c:numCache>
                <c:formatCode>"£"#,##0.00</c:formatCode>
                <c:ptCount val="1"/>
                <c:pt idx="0">
                  <c:v>10710</c:v>
                </c:pt>
              </c:numCache>
            </c:numRef>
          </c:yVal>
          <c:smooth val="1"/>
          <c:extLst>
            <c:ext xmlns:c16="http://schemas.microsoft.com/office/drawing/2014/chart" uri="{C3380CC4-5D6E-409C-BE32-E72D297353CC}">
              <c16:uniqueId val="{00000002-A9AD-0243-94C8-C421FA923781}"/>
            </c:ext>
          </c:extLst>
        </c:ser>
        <c:dLbls>
          <c:showLegendKey val="0"/>
          <c:showVal val="0"/>
          <c:showCatName val="0"/>
          <c:showSerName val="0"/>
          <c:showPercent val="0"/>
          <c:showBubbleSize val="0"/>
        </c:dLbls>
        <c:axId val="401351871"/>
        <c:axId val="1"/>
      </c:scatterChart>
      <c:scatterChart>
        <c:scatterStyle val="lineMarker"/>
        <c:varyColors val="0"/>
        <c:ser>
          <c:idx val="3"/>
          <c:order val="0"/>
          <c:tx>
            <c:v>CE Frontier</c:v>
          </c:tx>
          <c:spPr>
            <a:ln w="19050">
              <a:solidFill>
                <a:schemeClr val="tx1">
                  <a:lumMod val="50000"/>
                  <a:lumOff val="50000"/>
                </a:schemeClr>
              </a:solidFill>
            </a:ln>
          </c:spPr>
          <c:marker>
            <c:symbol val="none"/>
          </c:marker>
          <c:dPt>
            <c:idx val="1"/>
            <c:bubble3D val="0"/>
            <c:extLst>
              <c:ext xmlns:c16="http://schemas.microsoft.com/office/drawing/2014/chart" uri="{C3380CC4-5D6E-409C-BE32-E72D297353CC}">
                <c16:uniqueId val="{00000005-2EEA-A145-AC7A-1CB0C62D5F4B}"/>
              </c:ext>
            </c:extLst>
          </c:dPt>
          <c:xVal>
            <c:numRef>
              <c:f>'DSA_What-If'!$S$31:$S$33</c:f>
              <c:numCache>
                <c:formatCode>0.000</c:formatCode>
                <c:ptCount val="3"/>
                <c:pt idx="0">
                  <c:v>3.4249999999999998</c:v>
                </c:pt>
                <c:pt idx="1">
                  <c:v>3.7</c:v>
                </c:pt>
                <c:pt idx="2">
                  <c:v>3.9750000000000001</c:v>
                </c:pt>
              </c:numCache>
            </c:numRef>
          </c:xVal>
          <c:yVal>
            <c:numRef>
              <c:f>'DSA_What-If'!$R$31:$R$33</c:f>
              <c:numCache>
                <c:formatCode>"£"#,##0.00</c:formatCode>
                <c:ptCount val="3"/>
                <c:pt idx="0">
                  <c:v>8873.5</c:v>
                </c:pt>
                <c:pt idx="1">
                  <c:v>9240</c:v>
                </c:pt>
                <c:pt idx="2">
                  <c:v>10710</c:v>
                </c:pt>
              </c:numCache>
            </c:numRef>
          </c:yVal>
          <c:smooth val="0"/>
          <c:extLst>
            <c:ext xmlns:c16="http://schemas.microsoft.com/office/drawing/2014/chart" uri="{C3380CC4-5D6E-409C-BE32-E72D297353CC}">
              <c16:uniqueId val="{00000000-2EEA-A145-AC7A-1CB0C62D5F4B}"/>
            </c:ext>
          </c:extLst>
        </c:ser>
        <c:dLbls>
          <c:showLegendKey val="0"/>
          <c:showVal val="0"/>
          <c:showCatName val="0"/>
          <c:showSerName val="0"/>
          <c:showPercent val="0"/>
          <c:showBubbleSize val="0"/>
        </c:dLbls>
        <c:axId val="401351871"/>
        <c:axId val="1"/>
      </c:scatterChart>
      <c:valAx>
        <c:axId val="401351871"/>
        <c:scaling>
          <c:orientation val="minMax"/>
          <c:min val="3.4"/>
        </c:scaling>
        <c:delete val="0"/>
        <c:axPos val="b"/>
        <c:numFmt formatCode="0.0" sourceLinked="0"/>
        <c:majorTickMark val="out"/>
        <c:minorTickMark val="none"/>
        <c:tickLblPos val="nextTo"/>
        <c:spPr>
          <a:ln w="3175">
            <a:solidFill>
              <a:srgbClr val="000000"/>
            </a:solidFill>
            <a:prstDash val="solid"/>
          </a:ln>
        </c:spPr>
        <c:txPr>
          <a:bodyPr rot="0" vert="horz"/>
          <a:lstStyle/>
          <a:p>
            <a:pPr>
              <a:defRPr/>
            </a:pPr>
            <a:endParaRPr lang="en-US"/>
          </a:p>
        </c:txPr>
        <c:crossAx val="1"/>
        <c:crosses val="autoZero"/>
        <c:crossBetween val="midCat"/>
      </c:valAx>
      <c:valAx>
        <c:axId val="1"/>
        <c:scaling>
          <c:orientation val="minMax"/>
          <c:min val="8000"/>
        </c:scaling>
        <c:delete val="0"/>
        <c:axPos val="l"/>
        <c:numFmt formatCode="&quot;£&quot;#,##0" sourceLinked="0"/>
        <c:majorTickMark val="out"/>
        <c:minorTickMark val="none"/>
        <c:tickLblPos val="nextTo"/>
        <c:spPr>
          <a:ln w="3175">
            <a:solidFill>
              <a:srgbClr val="000000"/>
            </a:solidFill>
            <a:prstDash val="solid"/>
          </a:ln>
        </c:spPr>
        <c:txPr>
          <a:bodyPr rot="0" vert="horz"/>
          <a:lstStyle/>
          <a:p>
            <a:pPr>
              <a:defRPr/>
            </a:pPr>
            <a:endParaRPr lang="en-US"/>
          </a:p>
        </c:txPr>
        <c:crossAx val="401351871"/>
        <c:crosses val="autoZero"/>
        <c:crossBetween val="midCat"/>
      </c:valAx>
      <c:spPr>
        <a:noFill/>
        <a:ln w="25400">
          <a:noFill/>
        </a:ln>
      </c:spPr>
    </c:plotArea>
    <c:legend>
      <c:legendPos val="r"/>
      <c:layout>
        <c:manualLayout>
          <c:xMode val="edge"/>
          <c:yMode val="edge"/>
          <c:x val="0.70559583029603934"/>
          <c:y val="0.36235364190039943"/>
          <c:w val="0.29440416970396055"/>
          <c:h val="0.35302966135553671"/>
        </c:manualLayout>
      </c:layout>
      <c:overlay val="0"/>
      <c:spPr>
        <a:noFill/>
        <a:ln w="3175">
          <a:noFill/>
          <a:prstDash val="solid"/>
        </a:ln>
      </c:spPr>
    </c:legend>
    <c:plotVisOnly val="1"/>
    <c:dispBlanksAs val="gap"/>
    <c:showDLblsOverMax val="0"/>
  </c:chart>
  <c:spPr>
    <a:solidFill>
      <a:schemeClr val="bg1"/>
    </a:solidFill>
    <a:ln w="9525">
      <a:solidFill>
        <a:schemeClr val="tx1"/>
      </a:solidFill>
    </a:ln>
    <a:effectLst/>
  </c:spPr>
  <c:txPr>
    <a:bodyPr/>
    <a:lstStyle/>
    <a:p>
      <a:pPr>
        <a:defRPr sz="800" b="0" i="0" u="none" strike="noStrike" baseline="0">
          <a:solidFill>
            <a:schemeClr val="tx1">
              <a:lumMod val="75000"/>
              <a:lumOff val="25000"/>
            </a:schemeClr>
          </a:solidFill>
          <a:latin typeface="Helvetica" pitchFamily="2" charset="0"/>
          <a:ea typeface="Arial"/>
          <a:cs typeface="Calibri" panose="020F050202020403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1010385</xdr:colOff>
      <xdr:row>16</xdr:row>
      <xdr:rowOff>134718</xdr:rowOff>
    </xdr:from>
    <xdr:to>
      <xdr:col>18</xdr:col>
      <xdr:colOff>110096</xdr:colOff>
      <xdr:row>17</xdr:row>
      <xdr:rowOff>107546</xdr:rowOff>
    </xdr:to>
    <xdr:sp macro="" textlink="">
      <xdr:nvSpPr>
        <xdr:cNvPr id="29" name="Rectangle 28">
          <a:extLst>
            <a:ext uri="{FF2B5EF4-FFF2-40B4-BE49-F238E27FC236}">
              <a16:creationId xmlns:a16="http://schemas.microsoft.com/office/drawing/2014/main" id="{BC03D993-A6C1-DA45-B472-D480A3A13098}"/>
            </a:ext>
          </a:extLst>
        </xdr:cNvPr>
        <xdr:cNvSpPr/>
      </xdr:nvSpPr>
      <xdr:spPr>
        <a:xfrm>
          <a:off x="14444163" y="4302199"/>
          <a:ext cx="228600" cy="226828"/>
        </a:xfrm>
        <a:prstGeom prst="rect">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1024419</xdr:colOff>
      <xdr:row>9</xdr:row>
      <xdr:rowOff>140331</xdr:rowOff>
    </xdr:from>
    <xdr:to>
      <xdr:col>19</xdr:col>
      <xdr:colOff>123351</xdr:colOff>
      <xdr:row>10</xdr:row>
      <xdr:rowOff>116335</xdr:rowOff>
    </xdr:to>
    <xdr:sp macro="" textlink="">
      <xdr:nvSpPr>
        <xdr:cNvPr id="30" name="Oval 29">
          <a:extLst>
            <a:ext uri="{FF2B5EF4-FFF2-40B4-BE49-F238E27FC236}">
              <a16:creationId xmlns:a16="http://schemas.microsoft.com/office/drawing/2014/main" id="{78B83199-8573-3447-A834-139449F8CE59}"/>
            </a:ext>
          </a:extLst>
        </xdr:cNvPr>
        <xdr:cNvSpPr>
          <a:spLocks/>
        </xdr:cNvSpPr>
      </xdr:nvSpPr>
      <xdr:spPr>
        <a:xfrm>
          <a:off x="11949226" y="2518950"/>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1029471</xdr:colOff>
      <xdr:row>16</xdr:row>
      <xdr:rowOff>138366</xdr:rowOff>
    </xdr:from>
    <xdr:to>
      <xdr:col>19</xdr:col>
      <xdr:colOff>128403</xdr:colOff>
      <xdr:row>17</xdr:row>
      <xdr:rowOff>114370</xdr:rowOff>
    </xdr:to>
    <xdr:sp macro="" textlink="">
      <xdr:nvSpPr>
        <xdr:cNvPr id="31" name="Oval 30">
          <a:extLst>
            <a:ext uri="{FF2B5EF4-FFF2-40B4-BE49-F238E27FC236}">
              <a16:creationId xmlns:a16="http://schemas.microsoft.com/office/drawing/2014/main" id="{47BE662D-8E8D-B44E-ADAB-001331BD5DE5}"/>
            </a:ext>
          </a:extLst>
        </xdr:cNvPr>
        <xdr:cNvSpPr>
          <a:spLocks/>
        </xdr:cNvSpPr>
      </xdr:nvSpPr>
      <xdr:spPr>
        <a:xfrm>
          <a:off x="11954278" y="4285162"/>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1027506</xdr:colOff>
      <xdr:row>23</xdr:row>
      <xdr:rowOff>136402</xdr:rowOff>
    </xdr:from>
    <xdr:to>
      <xdr:col>19</xdr:col>
      <xdr:colOff>126438</xdr:colOff>
      <xdr:row>24</xdr:row>
      <xdr:rowOff>112405</xdr:rowOff>
    </xdr:to>
    <xdr:sp macro="" textlink="">
      <xdr:nvSpPr>
        <xdr:cNvPr id="32" name="Oval 31">
          <a:extLst>
            <a:ext uri="{FF2B5EF4-FFF2-40B4-BE49-F238E27FC236}">
              <a16:creationId xmlns:a16="http://schemas.microsoft.com/office/drawing/2014/main" id="{B4292539-0D1C-0840-AE00-7C7AA14C0E01}"/>
            </a:ext>
          </a:extLst>
        </xdr:cNvPr>
        <xdr:cNvSpPr>
          <a:spLocks/>
        </xdr:cNvSpPr>
      </xdr:nvSpPr>
      <xdr:spPr>
        <a:xfrm>
          <a:off x="11952313" y="6156623"/>
          <a:ext cx="228600" cy="228600"/>
        </a:xfrm>
        <a:prstGeom prst="ellips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989338</xdr:colOff>
      <xdr:row>7</xdr:row>
      <xdr:rowOff>133315</xdr:rowOff>
    </xdr:from>
    <xdr:to>
      <xdr:col>21</xdr:col>
      <xdr:colOff>88270</xdr:colOff>
      <xdr:row>8</xdr:row>
      <xdr:rowOff>111767</xdr:rowOff>
    </xdr:to>
    <xdr:sp macro="" textlink="">
      <xdr:nvSpPr>
        <xdr:cNvPr id="33" name="Triangle 32">
          <a:extLst>
            <a:ext uri="{FF2B5EF4-FFF2-40B4-BE49-F238E27FC236}">
              <a16:creationId xmlns:a16="http://schemas.microsoft.com/office/drawing/2014/main" id="{1777CC65-B167-954C-882A-9365BE4FEA0D}"/>
            </a:ext>
          </a:extLst>
        </xdr:cNvPr>
        <xdr:cNvSpPr/>
      </xdr:nvSpPr>
      <xdr:spPr>
        <a:xfrm rot="16200000">
          <a:off x="14172257" y="2007965"/>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987374</xdr:colOff>
      <xdr:row>11</xdr:row>
      <xdr:rowOff>140421</xdr:rowOff>
    </xdr:from>
    <xdr:to>
      <xdr:col>21</xdr:col>
      <xdr:colOff>86306</xdr:colOff>
      <xdr:row>12</xdr:row>
      <xdr:rowOff>118873</xdr:rowOff>
    </xdr:to>
    <xdr:sp macro="" textlink="">
      <xdr:nvSpPr>
        <xdr:cNvPr id="34" name="Triangle 33">
          <a:extLst>
            <a:ext uri="{FF2B5EF4-FFF2-40B4-BE49-F238E27FC236}">
              <a16:creationId xmlns:a16="http://schemas.microsoft.com/office/drawing/2014/main" id="{A61C267F-194A-2547-B051-BCB91FF57E45}"/>
            </a:ext>
          </a:extLst>
        </xdr:cNvPr>
        <xdr:cNvSpPr/>
      </xdr:nvSpPr>
      <xdr:spPr>
        <a:xfrm rot="16200000">
          <a:off x="15202507" y="3034003"/>
          <a:ext cx="232452"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992427</xdr:colOff>
      <xdr:row>14</xdr:row>
      <xdr:rowOff>136402</xdr:rowOff>
    </xdr:from>
    <xdr:to>
      <xdr:col>21</xdr:col>
      <xdr:colOff>91359</xdr:colOff>
      <xdr:row>15</xdr:row>
      <xdr:rowOff>114854</xdr:rowOff>
    </xdr:to>
    <xdr:sp macro="" textlink="">
      <xdr:nvSpPr>
        <xdr:cNvPr id="35" name="Triangle 34">
          <a:extLst>
            <a:ext uri="{FF2B5EF4-FFF2-40B4-BE49-F238E27FC236}">
              <a16:creationId xmlns:a16="http://schemas.microsoft.com/office/drawing/2014/main" id="{94DB6E2F-A4FA-3F49-A420-BE846C22C713}"/>
            </a:ext>
          </a:extLst>
        </xdr:cNvPr>
        <xdr:cNvSpPr/>
      </xdr:nvSpPr>
      <xdr:spPr>
        <a:xfrm rot="16200000">
          <a:off x="14175346" y="3779229"/>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990463</xdr:colOff>
      <xdr:row>18</xdr:row>
      <xdr:rowOff>134437</xdr:rowOff>
    </xdr:from>
    <xdr:to>
      <xdr:col>21</xdr:col>
      <xdr:colOff>89395</xdr:colOff>
      <xdr:row>19</xdr:row>
      <xdr:rowOff>112890</xdr:rowOff>
    </xdr:to>
    <xdr:sp macro="" textlink="">
      <xdr:nvSpPr>
        <xdr:cNvPr id="36" name="Triangle 35">
          <a:extLst>
            <a:ext uri="{FF2B5EF4-FFF2-40B4-BE49-F238E27FC236}">
              <a16:creationId xmlns:a16="http://schemas.microsoft.com/office/drawing/2014/main" id="{1018C034-2BD8-F142-813D-622C81D4399B}"/>
            </a:ext>
          </a:extLst>
        </xdr:cNvPr>
        <xdr:cNvSpPr/>
      </xdr:nvSpPr>
      <xdr:spPr>
        <a:xfrm rot="16200000">
          <a:off x="14173382" y="4892900"/>
          <a:ext cx="231049" cy="22860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994390</xdr:colOff>
      <xdr:row>21</xdr:row>
      <xdr:rowOff>140420</xdr:rowOff>
    </xdr:from>
    <xdr:to>
      <xdr:col>21</xdr:col>
      <xdr:colOff>93322</xdr:colOff>
      <xdr:row>22</xdr:row>
      <xdr:rowOff>118873</xdr:rowOff>
    </xdr:to>
    <xdr:sp macro="" textlink="">
      <xdr:nvSpPr>
        <xdr:cNvPr id="37" name="Triangle 36">
          <a:extLst>
            <a:ext uri="{FF2B5EF4-FFF2-40B4-BE49-F238E27FC236}">
              <a16:creationId xmlns:a16="http://schemas.microsoft.com/office/drawing/2014/main" id="{8A5F6925-F449-F843-BA49-E0E22C3378E1}"/>
            </a:ext>
          </a:extLst>
        </xdr:cNvPr>
        <xdr:cNvSpPr/>
      </xdr:nvSpPr>
      <xdr:spPr>
        <a:xfrm rot="16200000">
          <a:off x="15209522" y="5673788"/>
          <a:ext cx="232453"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992426</xdr:colOff>
      <xdr:row>25</xdr:row>
      <xdr:rowOff>138456</xdr:rowOff>
    </xdr:from>
    <xdr:to>
      <xdr:col>21</xdr:col>
      <xdr:colOff>91358</xdr:colOff>
      <xdr:row>26</xdr:row>
      <xdr:rowOff>116908</xdr:rowOff>
    </xdr:to>
    <xdr:sp macro="" textlink="">
      <xdr:nvSpPr>
        <xdr:cNvPr id="38" name="Triangle 37">
          <a:extLst>
            <a:ext uri="{FF2B5EF4-FFF2-40B4-BE49-F238E27FC236}">
              <a16:creationId xmlns:a16="http://schemas.microsoft.com/office/drawing/2014/main" id="{C2BE1793-C0F4-9944-A7FB-13CEEDA57C5C}"/>
            </a:ext>
          </a:extLst>
        </xdr:cNvPr>
        <xdr:cNvSpPr/>
      </xdr:nvSpPr>
      <xdr:spPr>
        <a:xfrm rot="16200000">
          <a:off x="15207559" y="6687823"/>
          <a:ext cx="232452" cy="232860"/>
        </a:xfrm>
        <a:prstGeom prst="triangle">
          <a:avLst/>
        </a:prstGeom>
        <a:solidFill>
          <a:srgbClr val="00206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41</xdr:col>
      <xdr:colOff>1</xdr:colOff>
      <xdr:row>20</xdr:row>
      <xdr:rowOff>0</xdr:rowOff>
    </xdr:from>
    <xdr:to>
      <xdr:col>46</xdr:col>
      <xdr:colOff>0</xdr:colOff>
      <xdr:row>32</xdr:row>
      <xdr:rowOff>0</xdr:rowOff>
    </xdr:to>
    <xdr:graphicFrame macro="">
      <xdr:nvGraphicFramePr>
        <xdr:cNvPr id="12" name="Tornado Diagram">
          <a:extLst>
            <a:ext uri="{FF2B5EF4-FFF2-40B4-BE49-F238E27FC236}">
              <a16:creationId xmlns:a16="http://schemas.microsoft.com/office/drawing/2014/main" id="{27618B67-7146-0299-E69E-B1CCD3EB3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0</xdr:colOff>
      <xdr:row>46</xdr:row>
      <xdr:rowOff>0</xdr:rowOff>
    </xdr:from>
    <xdr:to>
      <xdr:col>46</xdr:col>
      <xdr:colOff>0</xdr:colOff>
      <xdr:row>58</xdr:row>
      <xdr:rowOff>0</xdr:rowOff>
    </xdr:to>
    <xdr:graphicFrame macro="">
      <xdr:nvGraphicFramePr>
        <xdr:cNvPr id="15" name="Tornado Diagram">
          <a:extLst>
            <a:ext uri="{FF2B5EF4-FFF2-40B4-BE49-F238E27FC236}">
              <a16:creationId xmlns:a16="http://schemas.microsoft.com/office/drawing/2014/main" id="{0823F4B5-79D8-544E-5240-9B80860DF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21057990" y="7061200"/>
    <xdr:ext cx="3745110" cy="2002336"/>
    <xdr:graphicFrame macro="">
      <xdr:nvGraphicFramePr>
        <xdr:cNvPr id="2" name="CEF">
          <a:extLst>
            <a:ext uri="{FF2B5EF4-FFF2-40B4-BE49-F238E27FC236}">
              <a16:creationId xmlns:a16="http://schemas.microsoft.com/office/drawing/2014/main" id="{F45B19A9-B84A-E5E3-FF0E-538CD26E4AC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633F-FD05-C34A-B94C-BDD153F33E66}">
  <dimension ref="C1:AW59"/>
  <sheetViews>
    <sheetView showGridLines="0" tabSelected="1" zoomScaleNormal="100" workbookViewId="0"/>
  </sheetViews>
  <sheetFormatPr baseColWidth="10" defaultColWidth="14.83203125" defaultRowHeight="20" customHeight="1" x14ac:dyDescent="0.2"/>
  <cols>
    <col min="1" max="2" width="2.33203125" style="12" customWidth="1"/>
    <col min="3" max="3" width="2.83203125" style="12" customWidth="1"/>
    <col min="4" max="4" width="15.83203125" style="12" customWidth="1"/>
    <col min="5" max="5" width="36.83203125" style="12" customWidth="1"/>
    <col min="6" max="6" width="10.83203125" style="12" customWidth="1"/>
    <col min="7" max="9" width="12.83203125" style="12" customWidth="1"/>
    <col min="10" max="10" width="10.83203125" style="12" customWidth="1"/>
    <col min="11" max="11" width="11.6640625" style="12" customWidth="1"/>
    <col min="12" max="13" width="13.33203125" style="12" customWidth="1"/>
    <col min="14" max="14" width="2.6640625" style="12" customWidth="1"/>
    <col min="15" max="15" width="6.83203125" style="12" customWidth="1"/>
    <col min="16" max="16" width="2.83203125" style="12" customWidth="1"/>
    <col min="17" max="17" width="13" style="12" customWidth="1"/>
    <col min="18" max="23" width="14.83203125" style="12" customWidth="1"/>
    <col min="24" max="24" width="3.33203125" style="12" customWidth="1"/>
    <col min="25" max="25" width="14.83203125" style="12"/>
    <col min="26" max="26" width="4.6640625" style="12" customWidth="1"/>
    <col min="27" max="28" width="14.83203125" style="12"/>
    <col min="29" max="29" width="2.6640625" style="12" customWidth="1"/>
    <col min="30" max="30" width="6.83203125" style="12" customWidth="1"/>
    <col min="31" max="31" width="2.83203125" style="12" customWidth="1"/>
    <col min="32" max="32" width="13.5" style="64" customWidth="1"/>
    <col min="33" max="34" width="18.83203125" style="67" customWidth="1"/>
    <col min="35" max="36" width="18.83203125" style="64" customWidth="1"/>
    <col min="37" max="40" width="14.83203125" style="69" hidden="1" customWidth="1"/>
    <col min="41" max="41" width="6.6640625" style="64" customWidth="1"/>
    <col min="42" max="42" width="47.6640625" style="64" customWidth="1"/>
    <col min="43" max="48" width="12.83203125" style="64" customWidth="1"/>
    <col min="49" max="49" width="2.6640625" style="12" customWidth="1"/>
    <col min="50" max="16384" width="14.83203125" style="12"/>
  </cols>
  <sheetData>
    <row r="1" spans="3:49" s="5" customFormat="1" ht="20" customHeight="1" x14ac:dyDescent="0.2">
      <c r="C1" s="145" t="s">
        <v>48</v>
      </c>
      <c r="D1" s="145"/>
      <c r="E1" s="145"/>
      <c r="F1" s="145"/>
      <c r="G1" s="145"/>
      <c r="H1" s="145"/>
      <c r="I1" s="145"/>
      <c r="J1" s="145"/>
      <c r="K1" s="145"/>
      <c r="L1" s="145"/>
      <c r="M1" s="145"/>
      <c r="N1" s="145"/>
      <c r="P1" s="26"/>
      <c r="Q1" s="26"/>
      <c r="R1" s="26"/>
      <c r="S1" s="26"/>
      <c r="T1" s="26"/>
      <c r="U1" s="26"/>
      <c r="V1" s="26"/>
      <c r="W1" s="26"/>
      <c r="X1" s="26"/>
      <c r="Y1" s="26"/>
      <c r="Z1" s="26"/>
      <c r="AA1" s="26"/>
      <c r="AB1" s="26"/>
      <c r="AC1" s="26"/>
      <c r="AE1" s="26"/>
      <c r="AF1" s="62"/>
      <c r="AG1" s="68"/>
      <c r="AH1" s="62"/>
      <c r="AI1" s="62"/>
      <c r="AJ1" s="62"/>
      <c r="AK1" s="62"/>
      <c r="AL1" s="62"/>
      <c r="AM1" s="62"/>
      <c r="AN1" s="62"/>
      <c r="AO1" s="62"/>
      <c r="AP1" s="86"/>
      <c r="AQ1" s="86"/>
      <c r="AR1" s="86"/>
      <c r="AS1" s="86"/>
      <c r="AT1" s="86"/>
      <c r="AU1" s="86"/>
      <c r="AV1" s="86"/>
      <c r="AW1" s="26"/>
    </row>
    <row r="2" spans="3:49" s="5" customFormat="1" ht="20" customHeight="1" x14ac:dyDescent="0.2">
      <c r="C2" s="145"/>
      <c r="D2" s="145"/>
      <c r="E2" s="145"/>
      <c r="F2" s="145"/>
      <c r="G2" s="145"/>
      <c r="H2" s="145"/>
      <c r="I2" s="145"/>
      <c r="J2" s="145"/>
      <c r="K2" s="145"/>
      <c r="L2" s="145"/>
      <c r="M2" s="145"/>
      <c r="N2" s="145"/>
      <c r="P2" s="26"/>
      <c r="Q2" s="26"/>
      <c r="R2" s="26"/>
      <c r="S2" s="26"/>
      <c r="T2" s="26"/>
      <c r="U2" s="26"/>
      <c r="V2" s="26"/>
      <c r="W2" s="26"/>
      <c r="X2" s="26"/>
      <c r="Y2" s="26"/>
      <c r="Z2" s="26"/>
      <c r="AA2" s="26"/>
      <c r="AB2" s="26"/>
      <c r="AC2" s="26"/>
      <c r="AE2" s="26"/>
      <c r="AF2" s="62"/>
      <c r="AG2" s="62"/>
      <c r="AH2" s="62"/>
      <c r="AI2" s="62"/>
      <c r="AJ2" s="62"/>
      <c r="AK2" s="62"/>
      <c r="AL2" s="62"/>
      <c r="AM2" s="62"/>
      <c r="AN2" s="62"/>
      <c r="AO2" s="62"/>
      <c r="AP2" s="86"/>
      <c r="AQ2" s="86"/>
      <c r="AR2" s="86"/>
      <c r="AS2" s="86"/>
      <c r="AT2" s="86"/>
      <c r="AU2" s="86"/>
      <c r="AV2" s="86"/>
      <c r="AW2" s="26"/>
    </row>
    <row r="3" spans="3:49" s="5" customFormat="1" ht="20" customHeight="1" x14ac:dyDescent="0.2">
      <c r="C3" s="145"/>
      <c r="D3" s="145"/>
      <c r="E3" s="145"/>
      <c r="F3" s="145"/>
      <c r="G3" s="145"/>
      <c r="H3" s="145"/>
      <c r="I3" s="145"/>
      <c r="J3" s="145"/>
      <c r="K3" s="145"/>
      <c r="L3" s="145"/>
      <c r="M3" s="145"/>
      <c r="N3" s="145"/>
      <c r="P3" s="26"/>
      <c r="Q3" s="26"/>
      <c r="R3" s="26"/>
      <c r="S3" s="26"/>
      <c r="T3" s="26"/>
      <c r="U3" s="26"/>
      <c r="V3" s="26"/>
      <c r="W3" s="26"/>
      <c r="X3" s="26"/>
      <c r="Y3" s="26"/>
      <c r="Z3" s="26"/>
      <c r="AA3" s="26"/>
      <c r="AB3" s="26"/>
      <c r="AC3" s="26"/>
      <c r="AE3" s="26"/>
      <c r="AF3" s="62"/>
      <c r="AG3" s="62"/>
      <c r="AH3" s="62"/>
      <c r="AI3" s="62"/>
      <c r="AJ3" s="62"/>
      <c r="AK3" s="62"/>
      <c r="AL3" s="62"/>
      <c r="AM3" s="62"/>
      <c r="AN3" s="62"/>
      <c r="AO3" s="62"/>
      <c r="AP3" s="86"/>
      <c r="AQ3" s="86"/>
      <c r="AR3" s="86"/>
      <c r="AS3" s="86"/>
      <c r="AT3" s="86"/>
      <c r="AU3" s="86"/>
      <c r="AV3" s="86"/>
      <c r="AW3" s="26"/>
    </row>
    <row r="4" spans="3:49" ht="20" customHeight="1" x14ac:dyDescent="0.2">
      <c r="AG4" s="64"/>
      <c r="AH4" s="64"/>
      <c r="AK4" s="64"/>
      <c r="AL4" s="64"/>
      <c r="AM4" s="64"/>
      <c r="AN4" s="64"/>
    </row>
    <row r="5" spans="3:49" s="11" customFormat="1" ht="28" customHeight="1" x14ac:dyDescent="0.2">
      <c r="C5" s="4"/>
      <c r="D5" s="3" t="s">
        <v>1</v>
      </c>
      <c r="E5" s="2"/>
      <c r="F5" s="2"/>
      <c r="G5" s="2"/>
      <c r="H5" s="2"/>
      <c r="I5" s="2"/>
      <c r="J5" s="2"/>
      <c r="K5" s="2"/>
      <c r="L5" s="2"/>
      <c r="M5" s="2"/>
      <c r="N5" s="1"/>
      <c r="P5" s="4"/>
      <c r="Q5" s="3" t="s">
        <v>11</v>
      </c>
      <c r="R5" s="2"/>
      <c r="S5" s="2"/>
      <c r="T5" s="2"/>
      <c r="U5" s="2"/>
      <c r="V5" s="2"/>
      <c r="W5" s="2"/>
      <c r="X5" s="2"/>
      <c r="Y5" s="2"/>
      <c r="Z5" s="2"/>
      <c r="AA5" s="2"/>
      <c r="AB5" s="2"/>
      <c r="AC5" s="1"/>
      <c r="AE5" s="4"/>
      <c r="AF5" s="65" t="s">
        <v>68</v>
      </c>
      <c r="AG5" s="63"/>
      <c r="AH5" s="63"/>
      <c r="AI5" s="63"/>
      <c r="AJ5" s="63"/>
      <c r="AK5" s="63"/>
      <c r="AL5" s="63"/>
      <c r="AM5" s="63"/>
      <c r="AN5" s="63"/>
      <c r="AO5" s="63"/>
      <c r="AP5" s="85"/>
      <c r="AQ5" s="85"/>
      <c r="AR5" s="85"/>
      <c r="AS5" s="85"/>
      <c r="AT5" s="85"/>
      <c r="AU5" s="85"/>
      <c r="AV5" s="85"/>
      <c r="AW5" s="1"/>
    </row>
    <row r="6" spans="3:49" ht="20" customHeight="1" thickBot="1" x14ac:dyDescent="0.25">
      <c r="C6" s="6"/>
      <c r="D6" s="54" t="s">
        <v>2</v>
      </c>
      <c r="E6" s="13"/>
      <c r="F6" s="13"/>
      <c r="G6" s="13"/>
      <c r="H6" s="13"/>
      <c r="I6" s="13"/>
      <c r="J6" s="13"/>
      <c r="K6" s="13"/>
      <c r="L6" s="166" t="s">
        <v>70</v>
      </c>
      <c r="M6" s="166"/>
      <c r="N6" s="7"/>
      <c r="P6" s="6"/>
      <c r="Q6" s="54" t="s">
        <v>55</v>
      </c>
      <c r="R6" s="13"/>
      <c r="S6" s="13"/>
      <c r="T6" s="13"/>
      <c r="U6" s="13"/>
      <c r="V6" s="13"/>
      <c r="W6" s="13"/>
      <c r="X6" s="13"/>
      <c r="Y6" s="24"/>
      <c r="Z6" s="24"/>
      <c r="AA6" s="158" t="s">
        <v>8</v>
      </c>
      <c r="AB6" s="158"/>
      <c r="AC6" s="7"/>
      <c r="AE6" s="6"/>
      <c r="AF6" s="102" t="s">
        <v>69</v>
      </c>
      <c r="AG6" s="78"/>
      <c r="AH6" s="78"/>
      <c r="AI6" s="61"/>
      <c r="AJ6" s="61"/>
      <c r="AK6" s="103"/>
      <c r="AL6" s="103"/>
      <c r="AM6" s="103"/>
      <c r="AN6" s="103"/>
      <c r="AO6" s="61"/>
      <c r="AP6" s="102" t="s">
        <v>79</v>
      </c>
      <c r="AQ6" s="61"/>
      <c r="AR6" s="61"/>
      <c r="AS6" s="61"/>
      <c r="AT6" s="61"/>
      <c r="AU6" s="61"/>
      <c r="AV6" s="61"/>
      <c r="AW6" s="7"/>
    </row>
    <row r="7" spans="3:49" ht="20" customHeight="1" thickBot="1" x14ac:dyDescent="0.25">
      <c r="C7" s="6"/>
      <c r="D7" s="146" t="s">
        <v>93</v>
      </c>
      <c r="E7" s="147"/>
      <c r="F7" s="147"/>
      <c r="G7" s="147"/>
      <c r="H7" s="147"/>
      <c r="I7" s="147"/>
      <c r="J7" s="148"/>
      <c r="K7" s="124"/>
      <c r="L7" s="166"/>
      <c r="M7" s="166"/>
      <c r="N7" s="7"/>
      <c r="P7" s="6"/>
      <c r="Q7" s="140" t="s">
        <v>94</v>
      </c>
      <c r="R7" s="13"/>
      <c r="S7" s="13"/>
      <c r="T7" s="13"/>
      <c r="U7" s="13"/>
      <c r="V7" s="13"/>
      <c r="W7" s="13"/>
      <c r="X7" s="13"/>
      <c r="Y7" s="25" t="s">
        <v>15</v>
      </c>
      <c r="Z7" s="25"/>
      <c r="AA7" s="25" t="s">
        <v>9</v>
      </c>
      <c r="AB7" s="25" t="s">
        <v>10</v>
      </c>
      <c r="AC7" s="7"/>
      <c r="AE7" s="6"/>
      <c r="AF7" s="115" t="s">
        <v>56</v>
      </c>
      <c r="AG7" s="112"/>
      <c r="AH7" s="112"/>
      <c r="AI7" s="112"/>
      <c r="AJ7" s="113"/>
      <c r="AK7" s="61"/>
      <c r="AL7" s="61"/>
      <c r="AM7" s="61"/>
      <c r="AN7" s="61"/>
      <c r="AO7" s="61"/>
      <c r="AP7" s="109" t="s">
        <v>84</v>
      </c>
      <c r="AQ7" s="61"/>
      <c r="AR7" s="61"/>
      <c r="AS7" s="61"/>
      <c r="AT7" s="61"/>
      <c r="AU7" s="61"/>
      <c r="AV7" s="61"/>
      <c r="AW7" s="7"/>
    </row>
    <row r="8" spans="3:49" ht="20" customHeight="1" thickBot="1" x14ac:dyDescent="0.25">
      <c r="C8" s="6"/>
      <c r="D8" s="149"/>
      <c r="E8" s="150"/>
      <c r="F8" s="150"/>
      <c r="G8" s="150"/>
      <c r="H8" s="150"/>
      <c r="I8" s="150"/>
      <c r="J8" s="151"/>
      <c r="K8" s="124"/>
      <c r="L8" s="34"/>
      <c r="M8" s="121" t="s">
        <v>15</v>
      </c>
      <c r="N8" s="7"/>
      <c r="P8" s="6"/>
      <c r="Q8" s="13"/>
      <c r="R8" s="13"/>
      <c r="S8" s="13"/>
      <c r="T8" s="144" t="s">
        <v>6</v>
      </c>
      <c r="U8" s="144"/>
      <c r="V8" s="13"/>
      <c r="W8" s="13"/>
      <c r="X8" s="13"/>
      <c r="Y8" s="48">
        <f>RPed</f>
        <v>0.35</v>
      </c>
      <c r="Z8" s="25"/>
      <c r="AA8" s="71">
        <f>RPedC</f>
        <v>3030</v>
      </c>
      <c r="AB8" s="40">
        <f>RPedLE</f>
        <v>7</v>
      </c>
      <c r="AC8" s="7"/>
      <c r="AE8" s="6"/>
      <c r="AF8" s="55"/>
      <c r="AG8" s="14" t="s">
        <v>87</v>
      </c>
      <c r="AH8" s="117" t="s">
        <v>88</v>
      </c>
      <c r="AI8" s="14" t="s">
        <v>89</v>
      </c>
      <c r="AJ8" s="42"/>
      <c r="AK8" s="61"/>
      <c r="AL8" s="61"/>
      <c r="AM8" s="61"/>
      <c r="AN8" s="61"/>
      <c r="AO8" s="61"/>
      <c r="AP8" s="159" t="str">
        <f>Q32&amp;" vs "&amp;Q31</f>
        <v>Primary Care vs Routine Practice</v>
      </c>
      <c r="AQ8" s="159"/>
      <c r="AR8" s="159"/>
      <c r="AS8" s="159"/>
      <c r="AT8" s="159"/>
      <c r="AU8" s="159"/>
      <c r="AV8" s="159"/>
      <c r="AW8" s="7"/>
    </row>
    <row r="9" spans="3:49" ht="20" customHeight="1" thickBot="1" x14ac:dyDescent="0.25">
      <c r="C9" s="6"/>
      <c r="D9" s="149"/>
      <c r="E9" s="150"/>
      <c r="F9" s="150"/>
      <c r="G9" s="150"/>
      <c r="H9" s="150"/>
      <c r="I9" s="150"/>
      <c r="J9" s="151"/>
      <c r="K9" s="124"/>
      <c r="L9" s="56"/>
      <c r="M9" s="121" t="s">
        <v>9</v>
      </c>
      <c r="N9" s="7"/>
      <c r="P9" s="6"/>
      <c r="Q9" s="13"/>
      <c r="R9" s="13"/>
      <c r="S9" s="23"/>
      <c r="T9" s="13"/>
      <c r="U9" s="13"/>
      <c r="V9" s="13"/>
      <c r="W9" s="13"/>
      <c r="X9" s="13"/>
      <c r="Y9" s="49"/>
      <c r="Z9" s="25"/>
      <c r="AA9" s="50"/>
      <c r="AB9" s="51"/>
      <c r="AC9" s="7"/>
      <c r="AE9" s="6"/>
      <c r="AF9" s="95"/>
      <c r="AG9" s="116" t="s">
        <v>90</v>
      </c>
      <c r="AH9" s="114"/>
      <c r="AI9" s="114"/>
      <c r="AJ9" s="99"/>
      <c r="AK9" s="61"/>
      <c r="AL9" s="61"/>
      <c r="AM9" s="61"/>
      <c r="AN9" s="61"/>
      <c r="AO9" s="61"/>
      <c r="AP9" s="84" t="s">
        <v>71</v>
      </c>
      <c r="AQ9" s="84" t="s">
        <v>80</v>
      </c>
      <c r="AR9" s="84" t="s">
        <v>81</v>
      </c>
      <c r="AS9" s="84" t="s">
        <v>82</v>
      </c>
      <c r="AT9" s="84" t="s">
        <v>76</v>
      </c>
      <c r="AU9" s="84" t="s">
        <v>77</v>
      </c>
      <c r="AV9" s="84" t="s">
        <v>83</v>
      </c>
      <c r="AW9" s="7"/>
    </row>
    <row r="10" spans="3:49" ht="20" customHeight="1" thickBot="1" x14ac:dyDescent="0.25">
      <c r="C10" s="6"/>
      <c r="D10" s="149"/>
      <c r="E10" s="150"/>
      <c r="F10" s="150"/>
      <c r="G10" s="150"/>
      <c r="H10" s="150"/>
      <c r="I10" s="150"/>
      <c r="J10" s="151"/>
      <c r="K10" s="124"/>
      <c r="L10" s="38"/>
      <c r="M10" s="121" t="s">
        <v>10</v>
      </c>
      <c r="N10" s="7"/>
      <c r="P10" s="6"/>
      <c r="Q10" s="13"/>
      <c r="R10" s="13"/>
      <c r="S10" s="22" t="s">
        <v>3</v>
      </c>
      <c r="T10" s="13"/>
      <c r="U10" s="13"/>
      <c r="V10" s="13"/>
      <c r="W10" s="13"/>
      <c r="X10" s="13"/>
      <c r="Y10" s="49"/>
      <c r="Z10" s="25"/>
      <c r="AA10" s="50"/>
      <c r="AB10" s="51"/>
      <c r="AC10" s="7"/>
      <c r="AE10" s="6"/>
      <c r="AF10" s="61"/>
      <c r="AG10" s="66"/>
      <c r="AH10" s="61"/>
      <c r="AI10" s="61"/>
      <c r="AJ10" s="61"/>
      <c r="AK10" s="61"/>
      <c r="AL10" s="61"/>
      <c r="AM10" s="61"/>
      <c r="AN10" s="61"/>
      <c r="AO10" s="61"/>
      <c r="AP10" s="105" t="str" cm="1">
        <f t="array" ref="AP10:AV19">_xlfn.LET(
_xlpm.name,$F$21:$F$35,
_xlpm.desc,$E$21:$E$35,
_xlpm.idLL,$K$21:$K$35,
_xlpm.idUL,$L$21:$L$35,
_xlpm.scenario,$AF$16:$AF$45,
_xlpm.dc,$AG$16:$AG$45,
_xlpm.de,$AI$16:$AI$45,
_xlpm.wtp,$W$28,
_xlpm.label,_xlpm.desc&amp;" ("&amp;TEXT($H$21:$H$35,"#,##0.###")&amp;", "&amp;TEXT($I$21:$I$35,"#,##0.###")&amp;")",
_xlpm.icer,IFERROR(_xlpm.dc/_xlpm.de,NA()),
_xlpm.inmb,_xlpm.wtp*_xlpm.de-_xlpm.dc,
_xlpm.llI,_xlfn.XLOOKUP(_xlpm.idLL,_xlpm.scenario,_xlpm.icer),
_xlpm.ulI,_xlfn.XLOOKUP(_xlpm.idUL,_xlpm.scenario,_xlpm.icer),
_xlpm.llN,_xlfn.XLOOKUP(_xlpm.idLL,_xlpm.scenario,_xlpm.inmb),
_xlpm.ulN,_xlfn.XLOOKUP(_xlpm.idUL,_xlpm.scenario,_xlpm.inmb),
_xlpm.data,_xlfn.HSTACK(_xlpm.label,_xlpm.llI,_xlpm.ulI,ABS(_xlpm.ulI-_xlpm.llI),_xlpm.llN,_xlpm.ulN,ABS(_xlpm.ulN-_xlpm.llN)),
_xlpm.result,_xlfn._xlws.FILTER(_xlpm.data,($J$21:$J$35=1)*(LEFT(_xlpm.name,2)&lt;&gt;"HC")),
_xlfn.SORTBY(_xlpm.result,_xlfn.CHOOSECOLS(_xlpm.result,7),-1)
)</f>
        <v>Life expectancy of early detection in primary care (6.3, 7.7)</v>
      </c>
      <c r="AQ10" s="103">
        <v>-73300.000000001557</v>
      </c>
      <c r="AR10" s="103">
        <v>660.36036036035966</v>
      </c>
      <c r="AS10" s="103">
        <v>73960.360360361912</v>
      </c>
      <c r="AT10" s="103">
        <v>-466.49999999999784</v>
      </c>
      <c r="AU10" s="103">
        <v>10733.500000000013</v>
      </c>
      <c r="AV10" s="103">
        <v>11200.000000000011</v>
      </c>
      <c r="AW10" s="7"/>
    </row>
    <row r="11" spans="3:49" ht="20" customHeight="1" thickBot="1" x14ac:dyDescent="0.25">
      <c r="C11" s="6"/>
      <c r="D11" s="149"/>
      <c r="E11" s="150"/>
      <c r="F11" s="150"/>
      <c r="G11" s="150"/>
      <c r="H11" s="150"/>
      <c r="I11" s="150"/>
      <c r="J11" s="151"/>
      <c r="K11" s="124"/>
      <c r="L11" s="94"/>
      <c r="M11" s="94"/>
      <c r="N11" s="7"/>
      <c r="P11" s="6"/>
      <c r="Q11" s="13"/>
      <c r="R11" s="16"/>
      <c r="S11" s="23"/>
      <c r="T11" s="13"/>
      <c r="U11" s="13"/>
      <c r="V11" s="13"/>
      <c r="W11" s="13"/>
      <c r="X11" s="13"/>
      <c r="Y11" s="49"/>
      <c r="Z11" s="25"/>
      <c r="AA11" s="50"/>
      <c r="AB11" s="51"/>
      <c r="AC11" s="7"/>
      <c r="AE11" s="6"/>
      <c r="AF11" s="104" t="s">
        <v>86</v>
      </c>
      <c r="AG11" s="120">
        <v>0</v>
      </c>
      <c r="AH11" s="78"/>
      <c r="AI11" s="61"/>
      <c r="AJ11" s="106"/>
      <c r="AK11" s="161" t="s">
        <v>78</v>
      </c>
      <c r="AL11" s="161"/>
      <c r="AM11" s="161"/>
      <c r="AN11" s="161"/>
      <c r="AO11" s="61"/>
      <c r="AP11" s="105" t="str">
        <v>Life expectancy of early detection in routine practice (6.3, 7.7)</v>
      </c>
      <c r="AQ11" s="103">
        <v>704.8076923076917</v>
      </c>
      <c r="AR11" s="103">
        <v>12216.666666666746</v>
      </c>
      <c r="AS11" s="103">
        <v>11511.858974359055</v>
      </c>
      <c r="AT11" s="103">
        <v>10033.500000000009</v>
      </c>
      <c r="AU11" s="103">
        <v>233.49999999999613</v>
      </c>
      <c r="AV11" s="103">
        <v>9800.0000000000127</v>
      </c>
      <c r="AW11" s="7"/>
    </row>
    <row r="12" spans="3:49" ht="20" customHeight="1" thickBot="1" x14ac:dyDescent="0.25">
      <c r="C12" s="6"/>
      <c r="D12" s="149"/>
      <c r="E12" s="150"/>
      <c r="F12" s="150"/>
      <c r="G12" s="150"/>
      <c r="H12" s="150"/>
      <c r="I12" s="150"/>
      <c r="J12" s="151"/>
      <c r="K12" s="124"/>
      <c r="L12" s="122"/>
      <c r="M12" s="13" t="s">
        <v>91</v>
      </c>
      <c r="N12" s="7"/>
      <c r="P12" s="6"/>
      <c r="Q12" s="13"/>
      <c r="R12" s="16"/>
      <c r="S12" s="21"/>
      <c r="T12" s="143" t="s">
        <v>7</v>
      </c>
      <c r="U12" s="144"/>
      <c r="V12" s="13"/>
      <c r="W12" s="13"/>
      <c r="X12" s="13"/>
      <c r="Y12" s="48">
        <f>1-Y8</f>
        <v>0.65</v>
      </c>
      <c r="Z12" s="25"/>
      <c r="AA12" s="71">
        <f>RPldC</f>
        <v>12020</v>
      </c>
      <c r="AB12" s="40">
        <f>RPldLE</f>
        <v>1.5</v>
      </c>
      <c r="AC12" s="7"/>
      <c r="AE12" s="6"/>
      <c r="AF12" s="61"/>
      <c r="AG12" s="66"/>
      <c r="AH12" s="66"/>
      <c r="AI12" s="61"/>
      <c r="AJ12" s="61"/>
      <c r="AK12" s="160" t="s">
        <v>53</v>
      </c>
      <c r="AL12" s="160"/>
      <c r="AM12" s="160" t="s">
        <v>73</v>
      </c>
      <c r="AN12" s="160"/>
      <c r="AO12" s="61"/>
      <c r="AP12" s="105" t="str">
        <v>Probability of early detection in primary care (0.36, 0.44)</v>
      </c>
      <c r="AQ12" s="103">
        <v>13136.363636363492</v>
      </c>
      <c r="AR12" s="103">
        <v>21.21212121212119</v>
      </c>
      <c r="AS12" s="103">
        <v>13115.15151515137</v>
      </c>
      <c r="AT12" s="103">
        <v>377.50000000001205</v>
      </c>
      <c r="AU12" s="103">
        <v>9889.5000000000109</v>
      </c>
      <c r="AV12" s="103">
        <v>9511.9999999999982</v>
      </c>
      <c r="AW12" s="7"/>
    </row>
    <row r="13" spans="3:49" ht="20" customHeight="1" thickBot="1" x14ac:dyDescent="0.25">
      <c r="C13" s="6"/>
      <c r="D13" s="149"/>
      <c r="E13" s="150"/>
      <c r="F13" s="150"/>
      <c r="G13" s="150"/>
      <c r="H13" s="150"/>
      <c r="I13" s="150"/>
      <c r="J13" s="151"/>
      <c r="K13" s="124"/>
      <c r="L13" s="123"/>
      <c r="M13" s="13" t="s">
        <v>92</v>
      </c>
      <c r="N13" s="7"/>
      <c r="P13" s="6"/>
      <c r="Q13" s="13"/>
      <c r="R13" s="16"/>
      <c r="S13" s="13"/>
      <c r="T13" s="13"/>
      <c r="U13" s="13"/>
      <c r="V13" s="13"/>
      <c r="W13" s="13"/>
      <c r="X13" s="13"/>
      <c r="Y13" s="49"/>
      <c r="Z13" s="25"/>
      <c r="AA13" s="50"/>
      <c r="AB13" s="51"/>
      <c r="AC13" s="7"/>
      <c r="AE13" s="6"/>
      <c r="AF13" s="61"/>
      <c r="AG13" s="165" t="s">
        <v>65</v>
      </c>
      <c r="AH13" s="165"/>
      <c r="AI13" s="165" t="s">
        <v>66</v>
      </c>
      <c r="AJ13" s="165"/>
      <c r="AK13" s="104" t="str">
        <f>Q32</f>
        <v>Primary Care</v>
      </c>
      <c r="AL13" s="104" t="str">
        <f>Q33</f>
        <v>Hospital Care</v>
      </c>
      <c r="AM13" s="104" t="str">
        <f>Q32</f>
        <v>Primary Care</v>
      </c>
      <c r="AN13" s="104" t="str">
        <f>Q33</f>
        <v>Hospital Care</v>
      </c>
      <c r="AO13" s="61"/>
      <c r="AP13" s="105" t="str">
        <v>Probability of early detection in routine practice (0.315, 0.385)</v>
      </c>
      <c r="AQ13" s="103">
        <v>110.90909090908774</v>
      </c>
      <c r="AR13" s="103">
        <v>8256.3636363636306</v>
      </c>
      <c r="AS13" s="103">
        <v>8145.4545454545432</v>
      </c>
      <c r="AT13" s="103">
        <v>9298.1500000000069</v>
      </c>
      <c r="AU13" s="103">
        <v>968.85000000000082</v>
      </c>
      <c r="AV13" s="103">
        <v>8329.3000000000065</v>
      </c>
      <c r="AW13" s="7"/>
    </row>
    <row r="14" spans="3:49" ht="20" customHeight="1" thickBot="1" x14ac:dyDescent="0.25">
      <c r="C14" s="6"/>
      <c r="D14" s="149"/>
      <c r="E14" s="150"/>
      <c r="F14" s="150"/>
      <c r="G14" s="150"/>
      <c r="H14" s="150"/>
      <c r="I14" s="150"/>
      <c r="J14" s="151"/>
      <c r="K14" s="124"/>
      <c r="L14" s="94"/>
      <c r="M14" s="94"/>
      <c r="N14" s="7"/>
      <c r="P14" s="6"/>
      <c r="Q14" s="13"/>
      <c r="R14" s="16"/>
      <c r="S14" s="13"/>
      <c r="T14" s="13"/>
      <c r="U14" s="13"/>
      <c r="V14" s="13"/>
      <c r="W14" s="13"/>
      <c r="X14" s="13"/>
      <c r="Y14" s="49"/>
      <c r="Z14" s="25"/>
      <c r="AA14" s="50"/>
      <c r="AB14" s="51"/>
      <c r="AC14" s="7"/>
      <c r="AE14" s="6"/>
      <c r="AF14" s="139" t="s">
        <v>72</v>
      </c>
      <c r="AG14" s="139" t="str">
        <f>Q32</f>
        <v>Primary Care</v>
      </c>
      <c r="AH14" s="139" t="str">
        <f>Q33</f>
        <v>Hospital Care</v>
      </c>
      <c r="AI14" s="139" t="str">
        <f>Q32</f>
        <v>Primary Care</v>
      </c>
      <c r="AJ14" s="139" t="str">
        <f>Q33</f>
        <v>Hospital Care</v>
      </c>
      <c r="AK14" s="107">
        <f>V32</f>
        <v>1332.7272727272709</v>
      </c>
      <c r="AL14" s="107">
        <f>V33</f>
        <v>5345.4545454545469</v>
      </c>
      <c r="AM14" s="107">
        <f>W32</f>
        <v>5133.5000000000073</v>
      </c>
      <c r="AN14" s="107">
        <f>W33</f>
        <v>4029.9999999999982</v>
      </c>
      <c r="AO14" s="108"/>
      <c r="AP14" s="105" t="str">
        <v>Life expectancy of late detection in routine practice (1.35, 1.65)</v>
      </c>
      <c r="AQ14" s="103">
        <v>983.89261744966313</v>
      </c>
      <c r="AR14" s="103">
        <v>2064.7887323943637</v>
      </c>
      <c r="AS14" s="103">
        <v>1080.8961149447005</v>
      </c>
      <c r="AT14" s="103">
        <v>7083.50000000001</v>
      </c>
      <c r="AU14" s="103">
        <v>3183.5000000000041</v>
      </c>
      <c r="AV14" s="103">
        <v>3900.0000000000059</v>
      </c>
      <c r="AW14" s="7"/>
    </row>
    <row r="15" spans="3:49" ht="20" customHeight="1" thickBot="1" x14ac:dyDescent="0.25">
      <c r="C15" s="6"/>
      <c r="D15" s="152"/>
      <c r="E15" s="153"/>
      <c r="F15" s="153"/>
      <c r="G15" s="153"/>
      <c r="H15" s="153"/>
      <c r="I15" s="153"/>
      <c r="J15" s="154"/>
      <c r="K15" s="124"/>
      <c r="L15" s="94"/>
      <c r="M15" s="94"/>
      <c r="N15" s="7"/>
      <c r="P15" s="6"/>
      <c r="Q15" s="13"/>
      <c r="R15" s="16"/>
      <c r="S15" s="13"/>
      <c r="T15" s="144" t="s">
        <v>6</v>
      </c>
      <c r="U15" s="144"/>
      <c r="V15" s="13"/>
      <c r="W15" s="13"/>
      <c r="X15" s="13"/>
      <c r="Y15" s="48">
        <f>PCed</f>
        <v>0.4</v>
      </c>
      <c r="Z15" s="25"/>
      <c r="AA15" s="71">
        <f>PCedC</f>
        <v>3900</v>
      </c>
      <c r="AB15" s="40">
        <f>PCedLE</f>
        <v>7</v>
      </c>
      <c r="AC15" s="7"/>
      <c r="AE15" s="6"/>
      <c r="AF15" s="74" t="s">
        <v>64</v>
      </c>
      <c r="AG15" s="75">
        <f>T32</f>
        <v>366.5</v>
      </c>
      <c r="AH15" s="75">
        <f>T33</f>
        <v>1470</v>
      </c>
      <c r="AI15" s="76">
        <f>U32</f>
        <v>0.27500000000000036</v>
      </c>
      <c r="AJ15" s="91">
        <f>U33</f>
        <v>0.27499999999999991</v>
      </c>
      <c r="AK15" s="103"/>
      <c r="AL15" s="103"/>
      <c r="AM15" s="103"/>
      <c r="AN15" s="103"/>
      <c r="AO15" s="61"/>
      <c r="AP15" s="105" t="str">
        <v>Life expectancy of late detection in primary care (1.35, 1.65)</v>
      </c>
      <c r="AQ15" s="103">
        <v>1981.0810810810758</v>
      </c>
      <c r="AR15" s="103">
        <v>1004.1095890410953</v>
      </c>
      <c r="AS15" s="103">
        <v>976.97149203998049</v>
      </c>
      <c r="AT15" s="103">
        <v>3333.50000000001</v>
      </c>
      <c r="AU15" s="103">
        <v>6933.5000000000045</v>
      </c>
      <c r="AV15" s="103">
        <v>3599.9999999999945</v>
      </c>
      <c r="AW15" s="7"/>
    </row>
    <row r="16" spans="3:49" ht="20" customHeight="1" x14ac:dyDescent="0.2">
      <c r="C16" s="8"/>
      <c r="D16" s="9"/>
      <c r="E16" s="9"/>
      <c r="F16" s="9"/>
      <c r="G16" s="9"/>
      <c r="H16" s="9"/>
      <c r="I16" s="9"/>
      <c r="J16" s="9"/>
      <c r="K16" s="9"/>
      <c r="L16" s="9"/>
      <c r="M16" s="9"/>
      <c r="N16" s="10"/>
      <c r="P16" s="6"/>
      <c r="Q16" s="13"/>
      <c r="R16" s="16"/>
      <c r="S16" s="21"/>
      <c r="T16" s="13"/>
      <c r="U16" s="13"/>
      <c r="V16" s="13"/>
      <c r="W16" s="13"/>
      <c r="X16" s="13"/>
      <c r="Y16" s="49"/>
      <c r="Z16" s="25"/>
      <c r="AA16" s="50"/>
      <c r="AB16" s="51"/>
      <c r="AC16" s="7"/>
      <c r="AE16" s="6"/>
      <c r="AF16" s="77">
        <v>1</v>
      </c>
      <c r="AG16" s="78">
        <f t="dataTable" ref="AG16:AJ45" dt2D="0" dtr="0" r1="AG11"/>
        <v>51.849999999998545</v>
      </c>
      <c r="AH16" s="78">
        <v>1470</v>
      </c>
      <c r="AI16" s="61">
        <v>0.46750000000000025</v>
      </c>
      <c r="AJ16" s="92">
        <v>0.27499999999999991</v>
      </c>
      <c r="AK16" s="103"/>
      <c r="AL16" s="103"/>
      <c r="AM16" s="103"/>
      <c r="AN16" s="103"/>
      <c r="AO16" s="61"/>
      <c r="AP16" s="105" t="str">
        <v>Cost of late detection in routine practice (10,818., 13,222.)</v>
      </c>
      <c r="AQ16" s="103">
        <v>4173.8181818181774</v>
      </c>
      <c r="AR16" s="103">
        <v>-1508.3636363636383</v>
      </c>
      <c r="AS16" s="103">
        <v>5682.1818181818162</v>
      </c>
      <c r="AT16" s="103">
        <v>4352.2000000000071</v>
      </c>
      <c r="AU16" s="103">
        <v>5914.8000000000084</v>
      </c>
      <c r="AV16" s="103">
        <v>1562.6000000000013</v>
      </c>
      <c r="AW16" s="7"/>
    </row>
    <row r="17" spans="3:49" ht="20" customHeight="1" thickBot="1" x14ac:dyDescent="0.25">
      <c r="P17" s="6"/>
      <c r="Q17" s="15"/>
      <c r="R17" s="17"/>
      <c r="S17" s="23" t="s">
        <v>4</v>
      </c>
      <c r="T17" s="19"/>
      <c r="U17" s="13"/>
      <c r="V17" s="13"/>
      <c r="W17" s="13"/>
      <c r="X17" s="13"/>
      <c r="Y17" s="49"/>
      <c r="Z17" s="25"/>
      <c r="AA17" s="50"/>
      <c r="AB17" s="51"/>
      <c r="AC17" s="7"/>
      <c r="AE17" s="6"/>
      <c r="AF17" s="77">
        <v>2</v>
      </c>
      <c r="AG17" s="78">
        <v>681.14999999999964</v>
      </c>
      <c r="AH17" s="78">
        <v>1470</v>
      </c>
      <c r="AI17" s="61">
        <v>8.2500000000000018E-2</v>
      </c>
      <c r="AJ17" s="92">
        <v>0.27499999999999991</v>
      </c>
      <c r="AK17" s="103"/>
      <c r="AL17" s="103"/>
      <c r="AM17" s="103"/>
      <c r="AN17" s="103"/>
      <c r="AO17" s="61"/>
      <c r="AP17" s="105" t="str">
        <v>Cost of late detection in primary care (11,520., 14,080.)</v>
      </c>
      <c r="AQ17" s="103">
        <v>-1459.9999999999982</v>
      </c>
      <c r="AR17" s="103">
        <v>4125.4545454545405</v>
      </c>
      <c r="AS17" s="103">
        <v>5585.4545454545387</v>
      </c>
      <c r="AT17" s="103">
        <v>5901.5000000000073</v>
      </c>
      <c r="AU17" s="103">
        <v>4365.5000000000073</v>
      </c>
      <c r="AV17" s="103">
        <v>1536</v>
      </c>
      <c r="AW17" s="7"/>
    </row>
    <row r="18" spans="3:49" ht="28" customHeight="1" x14ac:dyDescent="0.2">
      <c r="C18" s="4"/>
      <c r="D18" s="3" t="s">
        <v>12</v>
      </c>
      <c r="E18" s="2"/>
      <c r="F18" s="2"/>
      <c r="G18" s="2"/>
      <c r="H18" s="2"/>
      <c r="I18" s="2"/>
      <c r="J18" s="2"/>
      <c r="K18" s="2"/>
      <c r="L18" s="2"/>
      <c r="M18" s="2"/>
      <c r="N18" s="1"/>
      <c r="P18" s="6"/>
      <c r="Q18" s="20"/>
      <c r="R18" s="18"/>
      <c r="S18" s="18"/>
      <c r="T18" s="19"/>
      <c r="U18" s="13"/>
      <c r="V18" s="13"/>
      <c r="W18" s="13"/>
      <c r="X18" s="13"/>
      <c r="Y18" s="49"/>
      <c r="Z18" s="25"/>
      <c r="AA18" s="50"/>
      <c r="AB18" s="51"/>
      <c r="AC18" s="7"/>
      <c r="AE18" s="6"/>
      <c r="AF18" s="77">
        <v>3</v>
      </c>
      <c r="AG18" s="78">
        <v>722.5</v>
      </c>
      <c r="AH18" s="78">
        <v>1114</v>
      </c>
      <c r="AI18" s="61">
        <v>5.5000000000000604E-2</v>
      </c>
      <c r="AJ18" s="92">
        <v>0.49499999999999966</v>
      </c>
      <c r="AK18" s="103"/>
      <c r="AL18" s="103"/>
      <c r="AM18" s="103"/>
      <c r="AN18" s="103"/>
      <c r="AO18" s="61"/>
      <c r="AP18" s="105" t="str">
        <v>Cost of early detection in primary care (3,510., 4,290.)</v>
      </c>
      <c r="AQ18" s="103">
        <v>765.45454545454447</v>
      </c>
      <c r="AR18" s="103">
        <v>1899.9999999999975</v>
      </c>
      <c r="AS18" s="103">
        <v>1134.5454545454531</v>
      </c>
      <c r="AT18" s="103">
        <v>5289.5000000000073</v>
      </c>
      <c r="AU18" s="103">
        <v>4977.5000000000073</v>
      </c>
      <c r="AV18" s="103">
        <v>312</v>
      </c>
      <c r="AW18" s="7"/>
    </row>
    <row r="19" spans="3:49" ht="20" customHeight="1" thickBot="1" x14ac:dyDescent="0.25">
      <c r="C19" s="6"/>
      <c r="D19" s="28"/>
      <c r="E19" s="29"/>
      <c r="F19" s="29"/>
      <c r="G19" s="29"/>
      <c r="H19" s="82" t="s">
        <v>67</v>
      </c>
      <c r="I19" s="83">
        <v>0.1</v>
      </c>
      <c r="J19" s="157" t="s">
        <v>58</v>
      </c>
      <c r="K19" s="157"/>
      <c r="L19" s="157"/>
      <c r="M19" s="157"/>
      <c r="N19" s="30"/>
      <c r="P19" s="6"/>
      <c r="Q19" s="13"/>
      <c r="R19" s="16"/>
      <c r="S19" s="21"/>
      <c r="T19" s="143" t="s">
        <v>7</v>
      </c>
      <c r="U19" s="144"/>
      <c r="V19" s="13"/>
      <c r="W19" s="13"/>
      <c r="X19" s="13"/>
      <c r="Y19" s="48">
        <f>1-Y15</f>
        <v>0.6</v>
      </c>
      <c r="Z19" s="25"/>
      <c r="AA19" s="71">
        <f>PCldC</f>
        <v>12800</v>
      </c>
      <c r="AB19" s="40">
        <f>PCldLE</f>
        <v>1.5</v>
      </c>
      <c r="AC19" s="7"/>
      <c r="AE19" s="6"/>
      <c r="AF19" s="77">
        <v>4</v>
      </c>
      <c r="AG19" s="78">
        <v>10.5</v>
      </c>
      <c r="AH19" s="78">
        <v>1826</v>
      </c>
      <c r="AI19" s="61">
        <v>0.49500000000000055</v>
      </c>
      <c r="AJ19" s="92">
        <v>5.4999999999999716E-2</v>
      </c>
      <c r="AK19" s="103"/>
      <c r="AL19" s="103"/>
      <c r="AM19" s="103"/>
      <c r="AN19" s="103"/>
      <c r="AO19" s="61"/>
      <c r="AP19" s="100" t="str">
        <v>Cost of early detection in routine practice (2,727., 3,333.)</v>
      </c>
      <c r="AQ19" s="101">
        <v>1718.3636363636315</v>
      </c>
      <c r="AR19" s="101">
        <v>947.09090909091049</v>
      </c>
      <c r="AS19" s="101">
        <v>771.272727272721</v>
      </c>
      <c r="AT19" s="101">
        <v>5027.450000000008</v>
      </c>
      <c r="AU19" s="101">
        <v>5239.5500000000065</v>
      </c>
      <c r="AV19" s="101">
        <v>212.09999999999854</v>
      </c>
      <c r="AW19" s="7"/>
    </row>
    <row r="20" spans="3:49" ht="20" customHeight="1" thickBot="1" x14ac:dyDescent="0.25">
      <c r="C20" s="6"/>
      <c r="D20" s="27" t="s">
        <v>13</v>
      </c>
      <c r="E20" s="27" t="s">
        <v>14</v>
      </c>
      <c r="F20" s="27" t="s">
        <v>59</v>
      </c>
      <c r="G20" s="27" t="s">
        <v>57</v>
      </c>
      <c r="H20" s="27" t="s">
        <v>46</v>
      </c>
      <c r="I20" s="27" t="s">
        <v>47</v>
      </c>
      <c r="J20" s="125" t="s">
        <v>60</v>
      </c>
      <c r="K20" s="126" t="s">
        <v>61</v>
      </c>
      <c r="L20" s="126" t="s">
        <v>62</v>
      </c>
      <c r="M20" s="127" t="s">
        <v>63</v>
      </c>
      <c r="N20" s="7"/>
      <c r="P20" s="6"/>
      <c r="Q20" s="13"/>
      <c r="R20" s="16"/>
      <c r="S20" s="13"/>
      <c r="T20" s="13"/>
      <c r="U20" s="13"/>
      <c r="V20" s="13"/>
      <c r="W20" s="13"/>
      <c r="X20" s="13"/>
      <c r="Y20" s="49"/>
      <c r="Z20" s="25"/>
      <c r="AA20" s="50"/>
      <c r="AB20" s="51"/>
      <c r="AC20" s="7"/>
      <c r="AE20" s="6"/>
      <c r="AF20" s="77">
        <v>5</v>
      </c>
      <c r="AG20" s="78">
        <v>366.5</v>
      </c>
      <c r="AH20" s="78">
        <v>1839</v>
      </c>
      <c r="AI20" s="61">
        <v>0.27500000000000036</v>
      </c>
      <c r="AJ20" s="92">
        <v>2.7499999999999858E-2</v>
      </c>
      <c r="AK20" s="103"/>
      <c r="AL20" s="103"/>
      <c r="AM20" s="103"/>
      <c r="AN20" s="103"/>
      <c r="AO20" s="61"/>
      <c r="AP20" s="61"/>
      <c r="AQ20" s="61"/>
      <c r="AR20" s="61"/>
      <c r="AS20" s="61"/>
      <c r="AT20" s="61"/>
      <c r="AU20" s="61"/>
      <c r="AV20" s="61"/>
      <c r="AW20" s="7"/>
    </row>
    <row r="21" spans="3:49" ht="20" customHeight="1" x14ac:dyDescent="0.2">
      <c r="C21" s="6"/>
      <c r="D21" s="155" t="s">
        <v>15</v>
      </c>
      <c r="E21" s="35" t="s">
        <v>16</v>
      </c>
      <c r="F21" s="44" t="s">
        <v>17</v>
      </c>
      <c r="G21" s="31">
        <v>0.35</v>
      </c>
      <c r="H21" s="32">
        <f t="shared" ref="H21:H35" si="0">G21*(1-$I$19)</f>
        <v>0.315</v>
      </c>
      <c r="I21" s="57">
        <f t="shared" ref="I21:I35" si="1">G21*(1+$I$19)</f>
        <v>0.38500000000000001</v>
      </c>
      <c r="J21" s="128">
        <v>1</v>
      </c>
      <c r="K21" s="60">
        <f>IF(J21=1,COUNTIF($J$21:J21,1)*2-1,"")</f>
        <v>1</v>
      </c>
      <c r="L21" s="60">
        <f>IF(J21=1,COUNTIF($J$21:J21,1)*2,"")</f>
        <v>2</v>
      </c>
      <c r="M21" s="129">
        <f t="shared" ref="M21:M35" si="2">IF(ID=K21,H21,IF(ID=L21,I21,G21))</f>
        <v>0.35</v>
      </c>
      <c r="N21" s="7"/>
      <c r="P21" s="6"/>
      <c r="Q21" s="13"/>
      <c r="R21" s="16"/>
      <c r="S21" s="13"/>
      <c r="T21" s="13"/>
      <c r="U21" s="13"/>
      <c r="V21" s="13"/>
      <c r="W21" s="13"/>
      <c r="X21" s="13"/>
      <c r="Y21" s="49"/>
      <c r="Z21" s="25"/>
      <c r="AA21" s="50"/>
      <c r="AB21" s="51"/>
      <c r="AC21" s="7"/>
      <c r="AE21" s="6"/>
      <c r="AF21" s="77">
        <v>6</v>
      </c>
      <c r="AG21" s="78">
        <v>366.5</v>
      </c>
      <c r="AH21" s="78">
        <v>1100.9999999999982</v>
      </c>
      <c r="AI21" s="61">
        <v>0.27500000000000036</v>
      </c>
      <c r="AJ21" s="92">
        <v>0.52249999999999996</v>
      </c>
      <c r="AK21" s="103"/>
      <c r="AL21" s="103"/>
      <c r="AM21" s="103"/>
      <c r="AN21" s="103"/>
      <c r="AO21" s="61"/>
      <c r="AP21" s="61"/>
      <c r="AQ21" s="61"/>
      <c r="AR21" s="61"/>
      <c r="AS21" s="61"/>
      <c r="AT21" s="61"/>
      <c r="AU21" s="61"/>
      <c r="AV21" s="61"/>
      <c r="AW21" s="7"/>
    </row>
    <row r="22" spans="3:49" ht="20" customHeight="1" thickBot="1" x14ac:dyDescent="0.25">
      <c r="C22" s="6"/>
      <c r="D22" s="156"/>
      <c r="E22" s="36" t="s">
        <v>18</v>
      </c>
      <c r="F22" s="45" t="s">
        <v>19</v>
      </c>
      <c r="G22" s="33">
        <v>0.4</v>
      </c>
      <c r="H22" s="34">
        <f t="shared" si="0"/>
        <v>0.36000000000000004</v>
      </c>
      <c r="I22" s="58">
        <f t="shared" si="1"/>
        <v>0.44000000000000006</v>
      </c>
      <c r="J22" s="130">
        <v>1</v>
      </c>
      <c r="K22" s="34">
        <f>IF(J22=1,COUNTIF($J$21:J22,1)*2-1,"")</f>
        <v>3</v>
      </c>
      <c r="L22" s="34">
        <f>IF(J22=1,COUNTIF($J$21:J22,1)*2,"")</f>
        <v>4</v>
      </c>
      <c r="M22" s="131">
        <f t="shared" si="2"/>
        <v>0.4</v>
      </c>
      <c r="N22" s="7"/>
      <c r="P22" s="6"/>
      <c r="Q22" s="13"/>
      <c r="R22" s="16"/>
      <c r="S22" s="13"/>
      <c r="T22" s="144" t="s">
        <v>6</v>
      </c>
      <c r="U22" s="144"/>
      <c r="V22" s="13"/>
      <c r="W22" s="13"/>
      <c r="X22" s="13"/>
      <c r="Y22" s="48">
        <f>HCed</f>
        <v>0.45</v>
      </c>
      <c r="Z22" s="25"/>
      <c r="AA22" s="71">
        <f>HCedC</f>
        <v>6200</v>
      </c>
      <c r="AB22" s="40">
        <f>HCedLE</f>
        <v>7</v>
      </c>
      <c r="AC22" s="7"/>
      <c r="AE22" s="6"/>
      <c r="AF22" s="77">
        <v>7</v>
      </c>
      <c r="AG22" s="78">
        <v>472.54999999999927</v>
      </c>
      <c r="AH22" s="78">
        <v>1470</v>
      </c>
      <c r="AI22" s="61">
        <v>0.27500000000000036</v>
      </c>
      <c r="AJ22" s="92">
        <v>0.27499999999999991</v>
      </c>
      <c r="AK22" s="103"/>
      <c r="AL22" s="103"/>
      <c r="AM22" s="103"/>
      <c r="AN22" s="103"/>
      <c r="AO22" s="61"/>
      <c r="AP22" s="61"/>
      <c r="AQ22" s="61"/>
      <c r="AR22" s="61"/>
      <c r="AS22" s="61"/>
      <c r="AT22" s="61"/>
      <c r="AU22" s="61"/>
      <c r="AV22" s="61"/>
      <c r="AW22" s="7"/>
    </row>
    <row r="23" spans="3:49" ht="20" customHeight="1" x14ac:dyDescent="0.2">
      <c r="C23" s="6"/>
      <c r="D23" s="156"/>
      <c r="E23" s="36" t="s">
        <v>20</v>
      </c>
      <c r="F23" s="45" t="s">
        <v>21</v>
      </c>
      <c r="G23" s="33">
        <v>0.45</v>
      </c>
      <c r="H23" s="34">
        <f t="shared" si="0"/>
        <v>0.40500000000000003</v>
      </c>
      <c r="I23" s="58">
        <f t="shared" si="1"/>
        <v>0.49500000000000005</v>
      </c>
      <c r="J23" s="130">
        <v>1</v>
      </c>
      <c r="K23" s="34">
        <f>IF(J23=1,COUNTIF($J$21:J23,1)*2-1,"")</f>
        <v>5</v>
      </c>
      <c r="L23" s="34">
        <f>IF(J23=1,COUNTIF($J$21:J23,1)*2,"")</f>
        <v>6</v>
      </c>
      <c r="M23" s="131">
        <f t="shared" si="2"/>
        <v>0.45</v>
      </c>
      <c r="N23" s="7"/>
      <c r="P23" s="6"/>
      <c r="Q23" s="13"/>
      <c r="R23" s="16"/>
      <c r="S23" s="21"/>
      <c r="T23" s="13"/>
      <c r="U23" s="13"/>
      <c r="V23" s="13"/>
      <c r="W23" s="13"/>
      <c r="X23" s="13"/>
      <c r="Y23" s="49"/>
      <c r="Z23" s="25"/>
      <c r="AA23" s="50"/>
      <c r="AB23" s="51"/>
      <c r="AC23" s="7"/>
      <c r="AE23" s="6"/>
      <c r="AF23" s="77">
        <v>8</v>
      </c>
      <c r="AG23" s="78">
        <v>260.45000000000073</v>
      </c>
      <c r="AH23" s="78">
        <v>1470</v>
      </c>
      <c r="AI23" s="61">
        <v>0.27500000000000036</v>
      </c>
      <c r="AJ23" s="92">
        <v>0.27499999999999991</v>
      </c>
      <c r="AK23" s="103"/>
      <c r="AL23" s="103"/>
      <c r="AM23" s="103"/>
      <c r="AN23" s="103"/>
      <c r="AO23" s="61"/>
      <c r="AP23" s="61"/>
      <c r="AQ23" s="61"/>
      <c r="AR23" s="61"/>
      <c r="AS23" s="61"/>
      <c r="AT23" s="61"/>
      <c r="AU23" s="104"/>
      <c r="AV23" s="61"/>
      <c r="AW23" s="7"/>
    </row>
    <row r="24" spans="3:49" ht="20" customHeight="1" thickBot="1" x14ac:dyDescent="0.25">
      <c r="C24" s="6"/>
      <c r="D24" s="141" t="s">
        <v>9</v>
      </c>
      <c r="E24" s="37" t="s">
        <v>22</v>
      </c>
      <c r="F24" s="46" t="s">
        <v>23</v>
      </c>
      <c r="G24" s="72">
        <v>3030</v>
      </c>
      <c r="H24" s="72">
        <f t="shared" si="0"/>
        <v>2727</v>
      </c>
      <c r="I24" s="73">
        <f t="shared" si="1"/>
        <v>3333.0000000000005</v>
      </c>
      <c r="J24" s="132">
        <v>1</v>
      </c>
      <c r="K24" s="56">
        <f>IF(J24=1,COUNTIF($J$21:J24,1)*2-1,"")</f>
        <v>7</v>
      </c>
      <c r="L24" s="56">
        <f>IF(J24=1,COUNTIF($J$21:J24,1)*2,"")</f>
        <v>8</v>
      </c>
      <c r="M24" s="133">
        <f t="shared" si="2"/>
        <v>3030</v>
      </c>
      <c r="N24" s="7"/>
      <c r="P24" s="6"/>
      <c r="Q24" s="13"/>
      <c r="R24" s="16"/>
      <c r="S24" s="22" t="s">
        <v>5</v>
      </c>
      <c r="T24" s="19"/>
      <c r="U24" s="13"/>
      <c r="V24" s="13"/>
      <c r="W24" s="13"/>
      <c r="X24" s="13"/>
      <c r="Y24" s="49"/>
      <c r="Z24" s="25"/>
      <c r="AA24" s="50"/>
      <c r="AB24" s="51"/>
      <c r="AC24" s="7"/>
      <c r="AE24" s="6"/>
      <c r="AF24" s="77">
        <v>9</v>
      </c>
      <c r="AG24" s="78">
        <v>1147.8000000000002</v>
      </c>
      <c r="AH24" s="78">
        <v>1470</v>
      </c>
      <c r="AI24" s="61">
        <v>0.27500000000000036</v>
      </c>
      <c r="AJ24" s="92">
        <v>0.27499999999999991</v>
      </c>
      <c r="AK24" s="103"/>
      <c r="AL24" s="103"/>
      <c r="AM24" s="103"/>
      <c r="AN24" s="103"/>
      <c r="AO24" s="61"/>
      <c r="AP24" s="61"/>
      <c r="AQ24" s="61"/>
      <c r="AR24" s="61"/>
      <c r="AS24" s="61"/>
      <c r="AT24" s="61"/>
      <c r="AU24" s="61"/>
      <c r="AV24" s="61"/>
      <c r="AW24" s="7"/>
    </row>
    <row r="25" spans="3:49" ht="20" customHeight="1" x14ac:dyDescent="0.2">
      <c r="C25" s="6"/>
      <c r="D25" s="141"/>
      <c r="E25" s="37" t="s">
        <v>24</v>
      </c>
      <c r="F25" s="46" t="s">
        <v>25</v>
      </c>
      <c r="G25" s="72">
        <v>12020</v>
      </c>
      <c r="H25" s="72">
        <f t="shared" si="0"/>
        <v>10818</v>
      </c>
      <c r="I25" s="73">
        <f t="shared" si="1"/>
        <v>13222.000000000002</v>
      </c>
      <c r="J25" s="132">
        <v>1</v>
      </c>
      <c r="K25" s="56">
        <f>IF(J25=1,COUNTIF($J$21:J25,1)*2-1,"")</f>
        <v>9</v>
      </c>
      <c r="L25" s="56">
        <f>IF(J25=1,COUNTIF($J$21:J25,1)*2,"")</f>
        <v>10</v>
      </c>
      <c r="M25" s="133">
        <f t="shared" si="2"/>
        <v>12020</v>
      </c>
      <c r="N25" s="7"/>
      <c r="P25" s="6"/>
      <c r="Q25" s="13"/>
      <c r="R25" s="13"/>
      <c r="S25" s="18"/>
      <c r="T25" s="19"/>
      <c r="U25" s="13"/>
      <c r="V25" s="13"/>
      <c r="W25" s="13"/>
      <c r="X25" s="13"/>
      <c r="Y25" s="49"/>
      <c r="Z25" s="25"/>
      <c r="AA25" s="50"/>
      <c r="AB25" s="51"/>
      <c r="AC25" s="7"/>
      <c r="AE25" s="6"/>
      <c r="AF25" s="77">
        <v>10</v>
      </c>
      <c r="AG25" s="78">
        <v>-414.80000000000109</v>
      </c>
      <c r="AH25" s="78">
        <v>1470</v>
      </c>
      <c r="AI25" s="61">
        <v>0.27500000000000036</v>
      </c>
      <c r="AJ25" s="92">
        <v>0.27499999999999991</v>
      </c>
      <c r="AK25" s="103"/>
      <c r="AL25" s="103"/>
      <c r="AM25" s="103"/>
      <c r="AN25" s="103"/>
      <c r="AO25" s="61"/>
      <c r="AP25" s="61"/>
      <c r="AQ25" s="61"/>
      <c r="AR25" s="61"/>
      <c r="AS25" s="61"/>
      <c r="AT25" s="61"/>
      <c r="AU25" s="61"/>
      <c r="AV25" s="61"/>
      <c r="AW25" s="7"/>
    </row>
    <row r="26" spans="3:49" ht="20" customHeight="1" thickBot="1" x14ac:dyDescent="0.25">
      <c r="C26" s="6"/>
      <c r="D26" s="141"/>
      <c r="E26" s="37" t="s">
        <v>26</v>
      </c>
      <c r="F26" s="46" t="s">
        <v>27</v>
      </c>
      <c r="G26" s="72">
        <v>3900</v>
      </c>
      <c r="H26" s="72">
        <f t="shared" si="0"/>
        <v>3510</v>
      </c>
      <c r="I26" s="73">
        <f t="shared" si="1"/>
        <v>4290</v>
      </c>
      <c r="J26" s="132">
        <v>1</v>
      </c>
      <c r="K26" s="56">
        <f>IF(J26=1,COUNTIF($J$21:J26,1)*2-1,"")</f>
        <v>11</v>
      </c>
      <c r="L26" s="56">
        <f>IF(J26=1,COUNTIF($J$21:J26,1)*2,"")</f>
        <v>12</v>
      </c>
      <c r="M26" s="133">
        <f t="shared" si="2"/>
        <v>3900</v>
      </c>
      <c r="N26" s="7"/>
      <c r="P26" s="6"/>
      <c r="Q26" s="13"/>
      <c r="R26" s="13"/>
      <c r="S26" s="16"/>
      <c r="T26" s="143" t="s">
        <v>7</v>
      </c>
      <c r="U26" s="144"/>
      <c r="V26" s="13"/>
      <c r="W26" s="13"/>
      <c r="X26" s="13"/>
      <c r="Y26" s="48">
        <f>1-Y22</f>
        <v>0.55000000000000004</v>
      </c>
      <c r="Z26" s="25"/>
      <c r="AA26" s="71">
        <f>HCldC</f>
        <v>14400</v>
      </c>
      <c r="AB26" s="40">
        <f>HCldLE</f>
        <v>1.5</v>
      </c>
      <c r="AC26" s="7"/>
      <c r="AE26" s="6"/>
      <c r="AF26" s="77">
        <v>11</v>
      </c>
      <c r="AG26" s="78">
        <v>210.5</v>
      </c>
      <c r="AH26" s="78">
        <v>1626</v>
      </c>
      <c r="AI26" s="61">
        <v>0.27500000000000036</v>
      </c>
      <c r="AJ26" s="92">
        <v>0.27499999999999991</v>
      </c>
      <c r="AK26" s="103"/>
      <c r="AL26" s="103"/>
      <c r="AM26" s="103"/>
      <c r="AN26" s="103"/>
      <c r="AO26" s="61"/>
      <c r="AP26" s="61"/>
      <c r="AQ26" s="61"/>
      <c r="AR26" s="61"/>
      <c r="AS26" s="61"/>
      <c r="AT26" s="61"/>
      <c r="AU26" s="110" t="s">
        <v>85</v>
      </c>
      <c r="AV26" s="111">
        <f>W32</f>
        <v>5133.5000000000073</v>
      </c>
      <c r="AW26" s="7"/>
    </row>
    <row r="27" spans="3:49" ht="20" customHeight="1" x14ac:dyDescent="0.2">
      <c r="C27" s="6"/>
      <c r="D27" s="141"/>
      <c r="E27" s="37" t="s">
        <v>28</v>
      </c>
      <c r="F27" s="46" t="s">
        <v>29</v>
      </c>
      <c r="G27" s="72">
        <v>12800</v>
      </c>
      <c r="H27" s="72">
        <f t="shared" si="0"/>
        <v>11520</v>
      </c>
      <c r="I27" s="73">
        <f t="shared" si="1"/>
        <v>14080.000000000002</v>
      </c>
      <c r="J27" s="132">
        <v>1</v>
      </c>
      <c r="K27" s="56">
        <f>IF(J27=1,COUNTIF($J$21:J27,1)*2-1,"")</f>
        <v>13</v>
      </c>
      <c r="L27" s="56">
        <f>IF(J27=1,COUNTIF($J$21:J27,1)*2,"")</f>
        <v>14</v>
      </c>
      <c r="M27" s="133">
        <f t="shared" si="2"/>
        <v>12800</v>
      </c>
      <c r="N27" s="7"/>
      <c r="O27" s="41"/>
      <c r="P27" s="14"/>
      <c r="Q27" s="14"/>
      <c r="R27" s="14"/>
      <c r="S27" s="14"/>
      <c r="T27" s="14"/>
      <c r="U27" s="14"/>
      <c r="V27" s="14"/>
      <c r="W27" s="14"/>
      <c r="X27" s="14"/>
      <c r="Y27" s="14"/>
      <c r="Z27" s="14"/>
      <c r="AA27" s="14"/>
      <c r="AB27" s="14"/>
      <c r="AC27" s="42"/>
      <c r="AE27" s="55"/>
      <c r="AF27" s="77">
        <v>12</v>
      </c>
      <c r="AG27" s="78">
        <v>522.5</v>
      </c>
      <c r="AH27" s="78">
        <v>1314</v>
      </c>
      <c r="AI27" s="61">
        <v>0.27500000000000036</v>
      </c>
      <c r="AJ27" s="92">
        <v>0.27499999999999991</v>
      </c>
      <c r="AK27" s="103"/>
      <c r="AL27" s="103"/>
      <c r="AM27" s="103"/>
      <c r="AN27" s="103"/>
      <c r="AO27" s="61"/>
      <c r="AP27" s="61"/>
      <c r="AQ27" s="61"/>
      <c r="AR27" s="61"/>
      <c r="AS27" s="61"/>
      <c r="AT27" s="61"/>
      <c r="AU27" s="61"/>
      <c r="AV27" s="61"/>
      <c r="AW27" s="42"/>
    </row>
    <row r="28" spans="3:49" ht="20" customHeight="1" x14ac:dyDescent="0.2">
      <c r="C28" s="6"/>
      <c r="D28" s="141"/>
      <c r="E28" s="37" t="s">
        <v>30</v>
      </c>
      <c r="F28" s="46" t="s">
        <v>31</v>
      </c>
      <c r="G28" s="72">
        <v>6200</v>
      </c>
      <c r="H28" s="72">
        <f t="shared" si="0"/>
        <v>5580</v>
      </c>
      <c r="I28" s="73">
        <f t="shared" si="1"/>
        <v>6820.0000000000009</v>
      </c>
      <c r="J28" s="132">
        <v>1</v>
      </c>
      <c r="K28" s="56">
        <f>IF(J28=1,COUNTIF($J$21:J28,1)*2-1,"")</f>
        <v>15</v>
      </c>
      <c r="L28" s="56">
        <f>IF(J28=1,COUNTIF($J$21:J28,1)*2,"")</f>
        <v>16</v>
      </c>
      <c r="M28" s="133">
        <f t="shared" si="2"/>
        <v>6200</v>
      </c>
      <c r="N28" s="7"/>
      <c r="O28" s="41"/>
      <c r="P28" s="14"/>
      <c r="Q28" s="14"/>
      <c r="R28" s="14"/>
      <c r="S28" s="14"/>
      <c r="T28" s="14"/>
      <c r="U28" s="14"/>
      <c r="V28" s="89" t="s">
        <v>74</v>
      </c>
      <c r="W28" s="90">
        <v>20000</v>
      </c>
      <c r="X28" s="14"/>
      <c r="Y28" s="14"/>
      <c r="Z28" s="14"/>
      <c r="AA28" s="14"/>
      <c r="AB28" s="14"/>
      <c r="AC28" s="42"/>
      <c r="AE28" s="55"/>
      <c r="AF28" s="77">
        <v>13</v>
      </c>
      <c r="AG28" s="78">
        <v>-401.5</v>
      </c>
      <c r="AH28" s="78">
        <v>2238</v>
      </c>
      <c r="AI28" s="61">
        <v>0.27500000000000036</v>
      </c>
      <c r="AJ28" s="92">
        <v>0.27499999999999991</v>
      </c>
      <c r="AK28" s="103"/>
      <c r="AL28" s="103"/>
      <c r="AM28" s="103"/>
      <c r="AN28" s="103"/>
      <c r="AO28" s="61"/>
      <c r="AP28" s="61"/>
      <c r="AQ28" s="61"/>
      <c r="AR28" s="61"/>
      <c r="AS28" s="61"/>
      <c r="AT28" s="61"/>
      <c r="AU28" s="61"/>
      <c r="AV28" s="61"/>
      <c r="AW28" s="42"/>
    </row>
    <row r="29" spans="3:49" ht="20" customHeight="1" x14ac:dyDescent="0.2">
      <c r="C29" s="6"/>
      <c r="D29" s="141"/>
      <c r="E29" s="37" t="s">
        <v>32</v>
      </c>
      <c r="F29" s="46" t="s">
        <v>33</v>
      </c>
      <c r="G29" s="72">
        <v>14400</v>
      </c>
      <c r="H29" s="72">
        <f t="shared" si="0"/>
        <v>12960</v>
      </c>
      <c r="I29" s="73">
        <f t="shared" si="1"/>
        <v>15840.000000000002</v>
      </c>
      <c r="J29" s="132">
        <v>1</v>
      </c>
      <c r="K29" s="56">
        <f>IF(J29=1,COUNTIF($J$21:J29,1)*2-1,"")</f>
        <v>17</v>
      </c>
      <c r="L29" s="56">
        <f>IF(J29=1,COUNTIF($J$21:J29,1)*2,"")</f>
        <v>18</v>
      </c>
      <c r="M29" s="133">
        <f t="shared" si="2"/>
        <v>14400</v>
      </c>
      <c r="N29" s="7"/>
      <c r="O29" s="41"/>
      <c r="P29" s="14"/>
      <c r="Q29" s="53" t="s">
        <v>49</v>
      </c>
      <c r="R29" s="14"/>
      <c r="S29" s="14"/>
      <c r="T29" s="14"/>
      <c r="U29" s="14"/>
      <c r="V29" s="14"/>
      <c r="W29" s="14"/>
      <c r="X29" s="14"/>
      <c r="Y29" s="14"/>
      <c r="Z29" s="14"/>
      <c r="AA29" s="14"/>
      <c r="AB29" s="14"/>
      <c r="AC29" s="42"/>
      <c r="AE29" s="55"/>
      <c r="AF29" s="77">
        <v>14</v>
      </c>
      <c r="AG29" s="78">
        <v>1134.5</v>
      </c>
      <c r="AH29" s="78">
        <v>702</v>
      </c>
      <c r="AI29" s="61">
        <v>0.27500000000000036</v>
      </c>
      <c r="AJ29" s="92">
        <v>0.27499999999999991</v>
      </c>
      <c r="AK29" s="103"/>
      <c r="AL29" s="103"/>
      <c r="AM29" s="103"/>
      <c r="AN29" s="103"/>
      <c r="AO29" s="61"/>
      <c r="AP29" s="61"/>
      <c r="AQ29" s="61"/>
      <c r="AR29" s="61"/>
      <c r="AS29" s="61"/>
      <c r="AT29" s="61"/>
      <c r="AU29" s="104"/>
      <c r="AV29" s="61"/>
      <c r="AW29" s="42"/>
    </row>
    <row r="30" spans="3:49" ht="20" customHeight="1" x14ac:dyDescent="0.2">
      <c r="C30" s="6"/>
      <c r="D30" s="142" t="s">
        <v>10</v>
      </c>
      <c r="E30" s="39" t="s">
        <v>34</v>
      </c>
      <c r="F30" s="47" t="s">
        <v>35</v>
      </c>
      <c r="G30" s="40">
        <v>7</v>
      </c>
      <c r="H30" s="38">
        <f t="shared" si="0"/>
        <v>6.3</v>
      </c>
      <c r="I30" s="59">
        <f t="shared" si="1"/>
        <v>7.7000000000000011</v>
      </c>
      <c r="J30" s="134">
        <v>1</v>
      </c>
      <c r="K30" s="38">
        <f>IF(J30=1,COUNTIF($J$21:J30,1)*2-1,"")</f>
        <v>19</v>
      </c>
      <c r="L30" s="38">
        <f>IF(J30=1,COUNTIF($J$21:J30,1)*2,"")</f>
        <v>20</v>
      </c>
      <c r="M30" s="135">
        <f t="shared" si="2"/>
        <v>7</v>
      </c>
      <c r="N30" s="7"/>
      <c r="O30" s="41"/>
      <c r="P30" s="14"/>
      <c r="Q30" s="87"/>
      <c r="R30" s="88" t="s">
        <v>50</v>
      </c>
      <c r="S30" s="88" t="s">
        <v>54</v>
      </c>
      <c r="T30" s="88" t="s">
        <v>51</v>
      </c>
      <c r="U30" s="88" t="s">
        <v>52</v>
      </c>
      <c r="V30" s="88" t="s">
        <v>53</v>
      </c>
      <c r="W30" s="88" t="s">
        <v>75</v>
      </c>
      <c r="X30" s="14"/>
      <c r="Y30" s="14"/>
      <c r="Z30" s="14"/>
      <c r="AA30" s="14"/>
      <c r="AB30" s="14"/>
      <c r="AC30" s="42"/>
      <c r="AE30" s="55"/>
      <c r="AF30" s="77">
        <v>15</v>
      </c>
      <c r="AG30" s="78">
        <v>366.5</v>
      </c>
      <c r="AH30" s="78">
        <v>1191</v>
      </c>
      <c r="AI30" s="61">
        <v>0.27500000000000036</v>
      </c>
      <c r="AJ30" s="92">
        <v>0.27499999999999991</v>
      </c>
      <c r="AK30" s="103"/>
      <c r="AL30" s="103"/>
      <c r="AM30" s="103"/>
      <c r="AN30" s="103"/>
      <c r="AO30" s="61"/>
      <c r="AP30" s="61"/>
      <c r="AQ30" s="61"/>
      <c r="AR30" s="61"/>
      <c r="AS30" s="61"/>
      <c r="AT30" s="61"/>
      <c r="AU30" s="61"/>
      <c r="AV30" s="61"/>
      <c r="AW30" s="42"/>
    </row>
    <row r="31" spans="3:49" ht="20" customHeight="1" x14ac:dyDescent="0.2">
      <c r="C31" s="6"/>
      <c r="D31" s="142"/>
      <c r="E31" s="39" t="s">
        <v>36</v>
      </c>
      <c r="F31" s="47" t="s">
        <v>37</v>
      </c>
      <c r="G31" s="40">
        <v>1.5</v>
      </c>
      <c r="H31" s="38">
        <f t="shared" si="0"/>
        <v>1.35</v>
      </c>
      <c r="I31" s="59">
        <f t="shared" si="1"/>
        <v>1.6500000000000001</v>
      </c>
      <c r="J31" s="134">
        <v>1</v>
      </c>
      <c r="K31" s="38">
        <f>IF(J31=1,COUNTIF($J$21:J31,1)*2-1,"")</f>
        <v>21</v>
      </c>
      <c r="L31" s="38">
        <f>IF(J31=1,COUNTIF($J$21:J31,1)*2,"")</f>
        <v>22</v>
      </c>
      <c r="M31" s="135">
        <f t="shared" si="2"/>
        <v>1.5</v>
      </c>
      <c r="N31" s="7"/>
      <c r="O31" s="41"/>
      <c r="P31" s="14"/>
      <c r="Q31" s="43" t="s">
        <v>3</v>
      </c>
      <c r="R31" s="70">
        <f>($Y$8*AA8)+($Y$12*AA12)</f>
        <v>8873.5</v>
      </c>
      <c r="S31" s="52">
        <f>($Y$8*AB8)+($Y$12*AB12)</f>
        <v>3.4249999999999998</v>
      </c>
      <c r="T31" s="162"/>
      <c r="U31" s="163"/>
      <c r="V31" s="164"/>
      <c r="W31" s="119"/>
      <c r="X31" s="14"/>
      <c r="Y31" s="14"/>
      <c r="Z31" s="14"/>
      <c r="AA31" s="14"/>
      <c r="AB31" s="14"/>
      <c r="AC31" s="42"/>
      <c r="AE31" s="55"/>
      <c r="AF31" s="77">
        <v>16</v>
      </c>
      <c r="AG31" s="78">
        <v>366.5</v>
      </c>
      <c r="AH31" s="78">
        <v>1749.0000000000018</v>
      </c>
      <c r="AI31" s="61">
        <v>0.27500000000000036</v>
      </c>
      <c r="AJ31" s="92">
        <v>0.27499999999999991</v>
      </c>
      <c r="AK31" s="103"/>
      <c r="AL31" s="103"/>
      <c r="AM31" s="103"/>
      <c r="AN31" s="103"/>
      <c r="AO31" s="61"/>
      <c r="AP31" s="61"/>
      <c r="AQ31" s="61"/>
      <c r="AR31" s="61"/>
      <c r="AS31" s="61"/>
      <c r="AT31" s="61"/>
      <c r="AU31" s="61"/>
      <c r="AV31" s="61"/>
      <c r="AW31" s="42"/>
    </row>
    <row r="32" spans="3:49" ht="20" customHeight="1" x14ac:dyDescent="0.2">
      <c r="C32" s="6"/>
      <c r="D32" s="142"/>
      <c r="E32" s="39" t="s">
        <v>38</v>
      </c>
      <c r="F32" s="47" t="s">
        <v>39</v>
      </c>
      <c r="G32" s="40">
        <v>7</v>
      </c>
      <c r="H32" s="38">
        <f t="shared" si="0"/>
        <v>6.3</v>
      </c>
      <c r="I32" s="59">
        <f t="shared" si="1"/>
        <v>7.7000000000000011</v>
      </c>
      <c r="J32" s="134">
        <v>1</v>
      </c>
      <c r="K32" s="38">
        <f>IF(J32=1,COUNTIF($J$21:J32,1)*2-1,"")</f>
        <v>23</v>
      </c>
      <c r="L32" s="38">
        <f>IF(J32=1,COUNTIF($J$21:J32,1)*2,"")</f>
        <v>24</v>
      </c>
      <c r="M32" s="135">
        <f t="shared" si="2"/>
        <v>7</v>
      </c>
      <c r="N32" s="7"/>
      <c r="O32" s="41"/>
      <c r="P32" s="14"/>
      <c r="Q32" s="43" t="s">
        <v>4</v>
      </c>
      <c r="R32" s="70">
        <f>($Y$15*AA15)+($Y$19*AA19)</f>
        <v>9240</v>
      </c>
      <c r="S32" s="52">
        <f>($Y$15*AB15)+($Y$19*AB19)</f>
        <v>3.7</v>
      </c>
      <c r="T32" s="70">
        <f>R32-R31</f>
        <v>366.5</v>
      </c>
      <c r="U32" s="34">
        <f>S32-S31</f>
        <v>0.27500000000000036</v>
      </c>
      <c r="V32" s="118">
        <f>T32/U32</f>
        <v>1332.7272727272709</v>
      </c>
      <c r="W32" s="118">
        <f>U32*$W$28-T32</f>
        <v>5133.5000000000073</v>
      </c>
      <c r="X32" s="14"/>
      <c r="Y32" s="14"/>
      <c r="Z32" s="14"/>
      <c r="AA32" s="14"/>
      <c r="AB32" s="14"/>
      <c r="AC32" s="42"/>
      <c r="AE32" s="55"/>
      <c r="AF32" s="77">
        <v>17</v>
      </c>
      <c r="AG32" s="78">
        <v>366.5</v>
      </c>
      <c r="AH32" s="78">
        <v>678</v>
      </c>
      <c r="AI32" s="61">
        <v>0.27500000000000036</v>
      </c>
      <c r="AJ32" s="92">
        <v>0.27499999999999991</v>
      </c>
      <c r="AK32" s="103"/>
      <c r="AL32" s="103"/>
      <c r="AM32" s="103"/>
      <c r="AN32" s="103"/>
      <c r="AO32" s="61"/>
      <c r="AP32" s="61"/>
      <c r="AQ32" s="61"/>
      <c r="AR32" s="61"/>
      <c r="AS32" s="61"/>
      <c r="AT32" s="61"/>
      <c r="AU32" s="61"/>
      <c r="AV32" s="61"/>
      <c r="AW32" s="42"/>
    </row>
    <row r="33" spans="3:49" ht="20" customHeight="1" thickBot="1" x14ac:dyDescent="0.25">
      <c r="C33" s="6"/>
      <c r="D33" s="142"/>
      <c r="E33" s="39" t="s">
        <v>40</v>
      </c>
      <c r="F33" s="47" t="s">
        <v>41</v>
      </c>
      <c r="G33" s="40">
        <v>1.5</v>
      </c>
      <c r="H33" s="38">
        <f t="shared" si="0"/>
        <v>1.35</v>
      </c>
      <c r="I33" s="59">
        <f t="shared" si="1"/>
        <v>1.6500000000000001</v>
      </c>
      <c r="J33" s="134">
        <v>1</v>
      </c>
      <c r="K33" s="38">
        <f>IF(J33=1,COUNTIF($J$21:J33,1)*2-1,"")</f>
        <v>25</v>
      </c>
      <c r="L33" s="38">
        <f>IF(J33=1,COUNTIF($J$21:J33,1)*2,"")</f>
        <v>26</v>
      </c>
      <c r="M33" s="135">
        <f t="shared" si="2"/>
        <v>1.5</v>
      </c>
      <c r="N33" s="7"/>
      <c r="O33" s="41"/>
      <c r="P33" s="14"/>
      <c r="Q33" s="43" t="s">
        <v>5</v>
      </c>
      <c r="R33" s="70">
        <f>($Y$22*AA22)+($Y$26*AA26)</f>
        <v>10710</v>
      </c>
      <c r="S33" s="52">
        <f>($Y$22*AB22)+($Y$26*AB26)</f>
        <v>3.9750000000000001</v>
      </c>
      <c r="T33" s="70">
        <f>R33-R32</f>
        <v>1470</v>
      </c>
      <c r="U33" s="52">
        <f>S33-S32</f>
        <v>0.27499999999999991</v>
      </c>
      <c r="V33" s="118">
        <f>T33/U33</f>
        <v>5345.4545454545469</v>
      </c>
      <c r="W33" s="118">
        <f>U33*$W$28-T33</f>
        <v>4029.9999999999982</v>
      </c>
      <c r="X33" s="14"/>
      <c r="Y33" s="14"/>
      <c r="Z33" s="14"/>
      <c r="AA33" s="14"/>
      <c r="AB33" s="14"/>
      <c r="AC33" s="42"/>
      <c r="AE33" s="55"/>
      <c r="AF33" s="77">
        <v>18</v>
      </c>
      <c r="AG33" s="78">
        <v>366.5</v>
      </c>
      <c r="AH33" s="78">
        <v>2262.0000000000018</v>
      </c>
      <c r="AI33" s="61">
        <v>0.27500000000000036</v>
      </c>
      <c r="AJ33" s="92">
        <v>0.27499999999999991</v>
      </c>
      <c r="AK33" s="103"/>
      <c r="AL33" s="103"/>
      <c r="AM33" s="103"/>
      <c r="AN33" s="103"/>
      <c r="AO33" s="61"/>
      <c r="AP33" s="61"/>
      <c r="AQ33" s="61"/>
      <c r="AR33" s="61"/>
      <c r="AS33" s="61"/>
      <c r="AT33" s="61"/>
      <c r="AU33" s="61"/>
      <c r="AV33" s="61"/>
      <c r="AW33" s="42"/>
    </row>
    <row r="34" spans="3:49" ht="20" customHeight="1" x14ac:dyDescent="0.2">
      <c r="C34" s="6"/>
      <c r="D34" s="142"/>
      <c r="E34" s="39" t="s">
        <v>42</v>
      </c>
      <c r="F34" s="47" t="s">
        <v>43</v>
      </c>
      <c r="G34" s="40">
        <v>7</v>
      </c>
      <c r="H34" s="38">
        <f t="shared" si="0"/>
        <v>6.3</v>
      </c>
      <c r="I34" s="59">
        <f t="shared" si="1"/>
        <v>7.7000000000000011</v>
      </c>
      <c r="J34" s="134">
        <v>1</v>
      </c>
      <c r="K34" s="38">
        <f>IF(J34=1,COUNTIF($J$21:J34,1)*2-1,"")</f>
        <v>27</v>
      </c>
      <c r="L34" s="38">
        <f>IF(J34=1,COUNTIF($J$21:J34,1)*2,"")</f>
        <v>28</v>
      </c>
      <c r="M34" s="135">
        <f t="shared" si="2"/>
        <v>7</v>
      </c>
      <c r="N34" s="7"/>
      <c r="O34" s="41"/>
      <c r="P34" s="14"/>
      <c r="Q34" s="14"/>
      <c r="R34" s="14"/>
      <c r="S34" s="14"/>
      <c r="T34" s="14"/>
      <c r="U34" s="14"/>
      <c r="V34" s="14"/>
      <c r="W34" s="14"/>
      <c r="X34" s="14"/>
      <c r="Y34" s="14"/>
      <c r="Z34" s="14"/>
      <c r="AA34" s="14"/>
      <c r="AB34" s="14"/>
      <c r="AC34" s="42"/>
      <c r="AE34" s="55"/>
      <c r="AF34" s="77">
        <v>19</v>
      </c>
      <c r="AG34" s="78">
        <v>366.5</v>
      </c>
      <c r="AH34" s="78">
        <v>1470</v>
      </c>
      <c r="AI34" s="61">
        <v>0.52000000000000046</v>
      </c>
      <c r="AJ34" s="92">
        <v>0.27499999999999991</v>
      </c>
      <c r="AK34" s="103"/>
      <c r="AL34" s="103"/>
      <c r="AM34" s="103"/>
      <c r="AN34" s="103"/>
      <c r="AO34" s="61"/>
      <c r="AP34" s="159" t="str">
        <f>Q33&amp;" vs "&amp;Q32</f>
        <v>Hospital Care vs Primary Care</v>
      </c>
      <c r="AQ34" s="159"/>
      <c r="AR34" s="159"/>
      <c r="AS34" s="159"/>
      <c r="AT34" s="159"/>
      <c r="AU34" s="159"/>
      <c r="AV34" s="159"/>
      <c r="AW34" s="42"/>
    </row>
    <row r="35" spans="3:49" ht="20" customHeight="1" thickBot="1" x14ac:dyDescent="0.25">
      <c r="C35" s="6"/>
      <c r="D35" s="142"/>
      <c r="E35" s="39" t="s">
        <v>44</v>
      </c>
      <c r="F35" s="47" t="s">
        <v>45</v>
      </c>
      <c r="G35" s="40">
        <v>1.5</v>
      </c>
      <c r="H35" s="38">
        <f t="shared" si="0"/>
        <v>1.35</v>
      </c>
      <c r="I35" s="59">
        <f t="shared" si="1"/>
        <v>1.6500000000000001</v>
      </c>
      <c r="J35" s="136">
        <v>1</v>
      </c>
      <c r="K35" s="137">
        <f>IF(J35=1,COUNTIF($J$21:J35,1)*2-1,"")</f>
        <v>29</v>
      </c>
      <c r="L35" s="137">
        <f>IF(J35=1,COUNTIF($J$21:J35,1)*2,"")</f>
        <v>30</v>
      </c>
      <c r="M35" s="138">
        <f t="shared" si="2"/>
        <v>1.5</v>
      </c>
      <c r="N35" s="7"/>
      <c r="O35" s="41"/>
      <c r="P35" s="14"/>
      <c r="Q35" s="14"/>
      <c r="R35" s="14"/>
      <c r="S35" s="14"/>
      <c r="T35" s="14"/>
      <c r="U35" s="14"/>
      <c r="V35" s="14"/>
      <c r="W35" s="14"/>
      <c r="X35" s="14"/>
      <c r="Y35" s="14"/>
      <c r="Z35" s="14"/>
      <c r="AA35" s="14"/>
      <c r="AB35" s="14"/>
      <c r="AC35" s="42"/>
      <c r="AE35" s="55"/>
      <c r="AF35" s="77">
        <v>20</v>
      </c>
      <c r="AG35" s="78">
        <v>366.5</v>
      </c>
      <c r="AH35" s="78">
        <v>1470</v>
      </c>
      <c r="AI35" s="61">
        <v>2.9999999999999805E-2</v>
      </c>
      <c r="AJ35" s="92">
        <v>0.27499999999999991</v>
      </c>
      <c r="AK35" s="103"/>
      <c r="AL35" s="103"/>
      <c r="AM35" s="103"/>
      <c r="AN35" s="103"/>
      <c r="AO35" s="61"/>
      <c r="AP35" s="84" t="s">
        <v>71</v>
      </c>
      <c r="AQ35" s="84" t="s">
        <v>80</v>
      </c>
      <c r="AR35" s="84" t="s">
        <v>81</v>
      </c>
      <c r="AS35" s="84" t="s">
        <v>82</v>
      </c>
      <c r="AT35" s="84" t="s">
        <v>76</v>
      </c>
      <c r="AU35" s="84" t="s">
        <v>77</v>
      </c>
      <c r="AV35" s="84" t="s">
        <v>83</v>
      </c>
      <c r="AW35" s="42"/>
    </row>
    <row r="36" spans="3:49" ht="20" customHeight="1" x14ac:dyDescent="0.2">
      <c r="C36" s="8"/>
      <c r="D36" s="9"/>
      <c r="E36" s="9"/>
      <c r="F36" s="9"/>
      <c r="G36" s="9"/>
      <c r="H36" s="9"/>
      <c r="I36" s="9"/>
      <c r="J36" s="9"/>
      <c r="K36" s="9"/>
      <c r="L36" s="9"/>
      <c r="M36" s="9"/>
      <c r="N36" s="10"/>
      <c r="P36" s="8"/>
      <c r="Q36" s="9"/>
      <c r="R36" s="9"/>
      <c r="S36" s="9"/>
      <c r="T36" s="9"/>
      <c r="U36" s="9"/>
      <c r="V36" s="9"/>
      <c r="W36" s="9"/>
      <c r="X36" s="9"/>
      <c r="Y36" s="9"/>
      <c r="Z36" s="9"/>
      <c r="AA36" s="9"/>
      <c r="AB36" s="9"/>
      <c r="AC36" s="10"/>
      <c r="AE36" s="55"/>
      <c r="AF36" s="77">
        <v>21</v>
      </c>
      <c r="AG36" s="78">
        <v>366.5</v>
      </c>
      <c r="AH36" s="78">
        <v>1470</v>
      </c>
      <c r="AI36" s="61">
        <v>0.3725000000000005</v>
      </c>
      <c r="AJ36" s="92">
        <v>0.27499999999999991</v>
      </c>
      <c r="AK36" s="103"/>
      <c r="AL36" s="103"/>
      <c r="AM36" s="103"/>
      <c r="AN36" s="103"/>
      <c r="AO36" s="61"/>
      <c r="AP36" s="105" t="str" cm="1">
        <f t="array" ref="AP36:AV45">_xlfn.LET(
_xlpm.name,$F$21:$F$35,
_xlpm.desc,$E$21:$E$35,
_xlpm.idLL,$K$21:$K$35,
_xlpm.idUL,$L$21:$L$35,
_xlpm.scenario,$AF$16:$AF$45,
_xlpm.dc,$AH$16:$AH$45,
_xlpm.de,$AJ$16:$AJ$45,
_xlpm.wtp,$W$28,
_xlpm.label,_xlpm.desc&amp;" ("&amp;TEXT($H$21:$H$35,"#,##0.###")&amp;", "&amp;TEXT($I$21:$I$35,"#,##0.###")&amp;")",
_xlpm.icer,IFERROR(_xlpm.dc/_xlpm.de,NA()),
_xlpm.inmb,_xlpm.wtp*_xlpm.de-_xlpm.dc,
_xlpm.llI,_xlfn.XLOOKUP(_xlpm.idLL,_xlpm.scenario,_xlpm.icer),
_xlpm.ulI,_xlfn.XLOOKUP(_xlpm.idUL,_xlpm.scenario,_xlpm.icer),
_xlpm.llN,_xlfn.XLOOKUP(_xlpm.idLL,_xlpm.scenario,_xlpm.inmb),
_xlpm.ulN,_xlfn.XLOOKUP(_xlpm.idUL,_xlpm.scenario,_xlpm.inmb),
_xlpm.data,_xlfn.HSTACK(_xlpm.label,_xlpm.llI,_xlpm.ulI,ABS(_xlpm.ulI-_xlpm.llI),_xlpm.llN,_xlpm.ulN,ABS(_xlpm.ulN-_xlpm.llN)),
_xlpm.result,_xlfn._xlws.FILTER(_xlpm.data,($J$21:$J$35=1)*(LEFT(_xlpm.name,2)&lt;&gt;"RP")),
_xlfn.SORTBY(_xlpm.result,_xlfn.CHOOSECOLS(_xlpm.result,7),-1)
)</f>
        <v>Life expectancy of early detection in hospital care (6.3, 7.7)</v>
      </c>
      <c r="AQ36" s="103">
        <v>-36749.999999999971</v>
      </c>
      <c r="AR36" s="103">
        <v>2491.5254237288104</v>
      </c>
      <c r="AS36" s="103">
        <v>39241.525423728781</v>
      </c>
      <c r="AT36" s="103">
        <v>-2270.0000000000009</v>
      </c>
      <c r="AU36" s="103">
        <v>10330.000000000015</v>
      </c>
      <c r="AV36" s="103">
        <v>12600.000000000015</v>
      </c>
      <c r="AW36" s="42"/>
    </row>
    <row r="37" spans="3:49" ht="20" customHeight="1" x14ac:dyDescent="0.2">
      <c r="AE37" s="55"/>
      <c r="AF37" s="77">
        <v>22</v>
      </c>
      <c r="AG37" s="78">
        <v>366.5</v>
      </c>
      <c r="AH37" s="78">
        <v>1470</v>
      </c>
      <c r="AI37" s="61">
        <v>0.17750000000000021</v>
      </c>
      <c r="AJ37" s="92">
        <v>0.27499999999999991</v>
      </c>
      <c r="AK37" s="103"/>
      <c r="AL37" s="103"/>
      <c r="AM37" s="103"/>
      <c r="AN37" s="103"/>
      <c r="AO37" s="61"/>
      <c r="AP37" s="105" t="str">
        <v>Life expectancy of early detection in primary care (6.3, 7.7)</v>
      </c>
      <c r="AQ37" s="103">
        <v>2648.6486486486478</v>
      </c>
      <c r="AR37" s="103">
        <v>-293999.99999998015</v>
      </c>
      <c r="AS37" s="103">
        <v>296648.64864862879</v>
      </c>
      <c r="AT37" s="103">
        <v>9630.0000000000036</v>
      </c>
      <c r="AU37" s="103">
        <v>-1570.0000000000068</v>
      </c>
      <c r="AV37" s="103">
        <v>11200.000000000011</v>
      </c>
      <c r="AW37" s="42"/>
    </row>
    <row r="38" spans="3:49" ht="20" customHeight="1" x14ac:dyDescent="0.2">
      <c r="AE38" s="55"/>
      <c r="AF38" s="77">
        <v>23</v>
      </c>
      <c r="AG38" s="78">
        <v>366.5</v>
      </c>
      <c r="AH38" s="78">
        <v>1470</v>
      </c>
      <c r="AI38" s="61">
        <v>-4.9999999999998934E-3</v>
      </c>
      <c r="AJ38" s="92">
        <v>0.55500000000000016</v>
      </c>
      <c r="AK38" s="103"/>
      <c r="AL38" s="103"/>
      <c r="AM38" s="103"/>
      <c r="AN38" s="103"/>
      <c r="AO38" s="61"/>
      <c r="AP38" s="105" t="str">
        <v>Probability of early detection in hospital care (0.405, 0.495)</v>
      </c>
      <c r="AQ38" s="103">
        <v>66872.727272727614</v>
      </c>
      <c r="AR38" s="103">
        <v>2107.1770334928196</v>
      </c>
      <c r="AS38" s="103">
        <v>64765.550239234792</v>
      </c>
      <c r="AT38" s="103">
        <v>-1289.0000000000027</v>
      </c>
      <c r="AU38" s="103">
        <v>9349.0000000000018</v>
      </c>
      <c r="AV38" s="103">
        <v>10638.000000000004</v>
      </c>
      <c r="AW38" s="42"/>
    </row>
    <row r="39" spans="3:49" ht="20" customHeight="1" x14ac:dyDescent="0.2">
      <c r="AE39" s="55"/>
      <c r="AF39" s="77">
        <v>24</v>
      </c>
      <c r="AG39" s="78">
        <v>366.5</v>
      </c>
      <c r="AH39" s="78">
        <v>1470</v>
      </c>
      <c r="AI39" s="61">
        <v>0.5550000000000006</v>
      </c>
      <c r="AJ39" s="92">
        <v>-5.0000000000003375E-3</v>
      </c>
      <c r="AK39" s="103"/>
      <c r="AL39" s="103"/>
      <c r="AM39" s="103"/>
      <c r="AN39" s="103"/>
      <c r="AO39" s="61"/>
      <c r="AP39" s="105" t="str">
        <v>Probability of early detection in primary care (0.36, 0.44)</v>
      </c>
      <c r="AQ39" s="103">
        <v>2250.5050505050522</v>
      </c>
      <c r="AR39" s="103">
        <v>33200.000000000175</v>
      </c>
      <c r="AS39" s="103">
        <v>30949.494949495122</v>
      </c>
      <c r="AT39" s="103">
        <v>8785.9999999999927</v>
      </c>
      <c r="AU39" s="103">
        <v>-726.00000000000568</v>
      </c>
      <c r="AV39" s="103">
        <v>9511.9999999999982</v>
      </c>
      <c r="AW39" s="42"/>
    </row>
    <row r="40" spans="3:49" ht="20" customHeight="1" x14ac:dyDescent="0.2">
      <c r="AE40" s="55"/>
      <c r="AF40" s="77">
        <v>25</v>
      </c>
      <c r="AG40" s="78">
        <v>366.5</v>
      </c>
      <c r="AH40" s="78">
        <v>1470</v>
      </c>
      <c r="AI40" s="61">
        <v>0.1850000000000005</v>
      </c>
      <c r="AJ40" s="92">
        <v>0.36499999999999977</v>
      </c>
      <c r="AK40" s="103"/>
      <c r="AL40" s="103"/>
      <c r="AM40" s="103"/>
      <c r="AN40" s="103"/>
      <c r="AO40" s="61"/>
      <c r="AP40" s="105" t="str">
        <v>Life expectancy of late detection in primary care (1.35, 1.65)</v>
      </c>
      <c r="AQ40" s="103">
        <v>4027.397260273975</v>
      </c>
      <c r="AR40" s="103">
        <v>7945.945945945944</v>
      </c>
      <c r="AS40" s="103">
        <v>3918.548685671969</v>
      </c>
      <c r="AT40" s="103">
        <v>5829.9999999999955</v>
      </c>
      <c r="AU40" s="103">
        <v>2230.0000000000009</v>
      </c>
      <c r="AV40" s="103">
        <v>3599.9999999999945</v>
      </c>
      <c r="AW40" s="42"/>
    </row>
    <row r="41" spans="3:49" ht="20" customHeight="1" x14ac:dyDescent="0.2">
      <c r="AE41" s="55"/>
      <c r="AF41" s="77">
        <v>26</v>
      </c>
      <c r="AG41" s="78">
        <v>366.5</v>
      </c>
      <c r="AH41" s="78">
        <v>1470</v>
      </c>
      <c r="AI41" s="61">
        <v>0.36500000000000021</v>
      </c>
      <c r="AJ41" s="92">
        <v>0.18500000000000005</v>
      </c>
      <c r="AK41" s="103"/>
      <c r="AL41" s="103"/>
      <c r="AM41" s="103"/>
      <c r="AN41" s="103"/>
      <c r="AO41" s="61"/>
      <c r="AP41" s="105" t="str">
        <v>Life expectancy of late detection in hospital care (1.35, 1.65)</v>
      </c>
      <c r="AQ41" s="103">
        <v>7636.3636363636406</v>
      </c>
      <c r="AR41" s="103">
        <v>4111.8881118881127</v>
      </c>
      <c r="AS41" s="103">
        <v>3524.4755244755279</v>
      </c>
      <c r="AT41" s="103">
        <v>2379.9999999999977</v>
      </c>
      <c r="AU41" s="103">
        <v>5679.9999999999982</v>
      </c>
      <c r="AV41" s="103">
        <v>3300.0000000000005</v>
      </c>
      <c r="AW41" s="42"/>
    </row>
    <row r="42" spans="3:49" ht="20" customHeight="1" x14ac:dyDescent="0.2">
      <c r="AE42" s="55"/>
      <c r="AF42" s="77">
        <v>27</v>
      </c>
      <c r="AG42" s="78">
        <v>366.5</v>
      </c>
      <c r="AH42" s="78">
        <v>1470</v>
      </c>
      <c r="AI42" s="61">
        <v>0.27500000000000036</v>
      </c>
      <c r="AJ42" s="92">
        <v>-4.0000000000000036E-2</v>
      </c>
      <c r="AK42" s="103"/>
      <c r="AL42" s="103"/>
      <c r="AM42" s="103"/>
      <c r="AN42" s="103"/>
      <c r="AO42" s="61"/>
      <c r="AP42" s="105" t="str">
        <v>Cost of late detection in hospital care (12,960., 15,840.)</v>
      </c>
      <c r="AQ42" s="103">
        <v>2465.4545454545464</v>
      </c>
      <c r="AR42" s="103">
        <v>8225.454545454555</v>
      </c>
      <c r="AS42" s="103">
        <v>5760.0000000000091</v>
      </c>
      <c r="AT42" s="103">
        <v>4821.9999999999982</v>
      </c>
      <c r="AU42" s="103">
        <v>3237.9999999999964</v>
      </c>
      <c r="AV42" s="103">
        <v>1584.0000000000018</v>
      </c>
      <c r="AW42" s="42"/>
    </row>
    <row r="43" spans="3:49" ht="20" customHeight="1" x14ac:dyDescent="0.2">
      <c r="AE43" s="55"/>
      <c r="AF43" s="77">
        <v>28</v>
      </c>
      <c r="AG43" s="78">
        <v>366.5</v>
      </c>
      <c r="AH43" s="78">
        <v>1470</v>
      </c>
      <c r="AI43" s="61">
        <v>0.27500000000000036</v>
      </c>
      <c r="AJ43" s="92">
        <v>0.59000000000000075</v>
      </c>
      <c r="AK43" s="103"/>
      <c r="AL43" s="103"/>
      <c r="AM43" s="103"/>
      <c r="AN43" s="103"/>
      <c r="AO43" s="61"/>
      <c r="AP43" s="105" t="str">
        <v>Cost of late detection in primary care (11,520., 14,080.)</v>
      </c>
      <c r="AQ43" s="103">
        <v>8138.1818181818207</v>
      </c>
      <c r="AR43" s="103">
        <v>2552.7272727272734</v>
      </c>
      <c r="AS43" s="103">
        <v>5585.4545454545478</v>
      </c>
      <c r="AT43" s="103">
        <v>3261.9999999999982</v>
      </c>
      <c r="AU43" s="103">
        <v>4797.9999999999982</v>
      </c>
      <c r="AV43" s="103">
        <v>1536</v>
      </c>
      <c r="AW43" s="42"/>
    </row>
    <row r="44" spans="3:49" ht="20" customHeight="1" x14ac:dyDescent="0.2">
      <c r="AE44" s="55"/>
      <c r="AF44" s="77">
        <v>29</v>
      </c>
      <c r="AG44" s="78">
        <v>366.5</v>
      </c>
      <c r="AH44" s="78">
        <v>1470</v>
      </c>
      <c r="AI44" s="61">
        <v>0.27500000000000036</v>
      </c>
      <c r="AJ44" s="92">
        <v>0.19249999999999989</v>
      </c>
      <c r="AK44" s="103"/>
      <c r="AL44" s="103"/>
      <c r="AM44" s="103"/>
      <c r="AN44" s="103"/>
      <c r="AO44" s="61"/>
      <c r="AP44" s="105" t="str">
        <v>Cost of early detection in hospital care (5,580., 6,820.)</v>
      </c>
      <c r="AQ44" s="103">
        <v>4330.9090909090919</v>
      </c>
      <c r="AR44" s="103">
        <v>6360.0000000000091</v>
      </c>
      <c r="AS44" s="103">
        <v>2029.0909090909172</v>
      </c>
      <c r="AT44" s="103">
        <v>4308.9999999999982</v>
      </c>
      <c r="AU44" s="103">
        <v>3750.9999999999964</v>
      </c>
      <c r="AV44" s="103">
        <v>558.00000000000182</v>
      </c>
      <c r="AW44" s="42"/>
    </row>
    <row r="45" spans="3:49" ht="20" customHeight="1" thickBot="1" x14ac:dyDescent="0.25">
      <c r="AE45" s="55"/>
      <c r="AF45" s="79">
        <v>30</v>
      </c>
      <c r="AG45" s="80">
        <v>366.5</v>
      </c>
      <c r="AH45" s="80">
        <v>1470</v>
      </c>
      <c r="AI45" s="81">
        <v>0.27500000000000036</v>
      </c>
      <c r="AJ45" s="93">
        <v>0.35749999999999993</v>
      </c>
      <c r="AK45" s="103"/>
      <c r="AL45" s="103"/>
      <c r="AM45" s="103"/>
      <c r="AN45" s="103"/>
      <c r="AO45" s="61"/>
      <c r="AP45" s="100" t="str">
        <v>Cost of early detection in primary care (3,510., 4,290.)</v>
      </c>
      <c r="AQ45" s="101">
        <v>5912.7272727272748</v>
      </c>
      <c r="AR45" s="101">
        <v>4778.1818181818198</v>
      </c>
      <c r="AS45" s="101">
        <v>1134.545454545455</v>
      </c>
      <c r="AT45" s="101">
        <v>3873.9999999999982</v>
      </c>
      <c r="AU45" s="101">
        <v>4185.9999999999982</v>
      </c>
      <c r="AV45" s="101">
        <v>312</v>
      </c>
      <c r="AW45" s="42"/>
    </row>
    <row r="46" spans="3:49" ht="20" customHeight="1" x14ac:dyDescent="0.2">
      <c r="AE46" s="55"/>
      <c r="AF46" s="61"/>
      <c r="AG46" s="78"/>
      <c r="AH46" s="78"/>
      <c r="AI46" s="61"/>
      <c r="AJ46" s="61"/>
      <c r="AK46" s="103"/>
      <c r="AL46" s="103"/>
      <c r="AM46" s="103"/>
      <c r="AN46" s="103"/>
      <c r="AO46" s="61"/>
      <c r="AP46" s="61"/>
      <c r="AQ46" s="61"/>
      <c r="AR46" s="61"/>
      <c r="AS46" s="61"/>
      <c r="AT46" s="61"/>
      <c r="AU46" s="61"/>
      <c r="AV46" s="61"/>
      <c r="AW46" s="42"/>
    </row>
    <row r="47" spans="3:49" ht="20" customHeight="1" x14ac:dyDescent="0.2">
      <c r="AE47" s="55"/>
      <c r="AF47" s="61"/>
      <c r="AG47" s="78"/>
      <c r="AH47" s="78"/>
      <c r="AI47" s="61"/>
      <c r="AJ47" s="61"/>
      <c r="AK47" s="103"/>
      <c r="AL47" s="103"/>
      <c r="AM47" s="103"/>
      <c r="AN47" s="103"/>
      <c r="AO47" s="61"/>
      <c r="AP47" s="61"/>
      <c r="AQ47" s="61"/>
      <c r="AR47" s="61"/>
      <c r="AS47" s="61"/>
      <c r="AT47" s="61"/>
      <c r="AU47" s="61"/>
      <c r="AV47" s="61"/>
      <c r="AW47" s="42"/>
    </row>
    <row r="48" spans="3:49" ht="20" customHeight="1" x14ac:dyDescent="0.2">
      <c r="AE48" s="55"/>
      <c r="AF48" s="61"/>
      <c r="AG48" s="78"/>
      <c r="AH48" s="78"/>
      <c r="AI48" s="61"/>
      <c r="AJ48" s="61"/>
      <c r="AK48" s="103"/>
      <c r="AL48" s="103"/>
      <c r="AM48" s="103"/>
      <c r="AN48" s="103"/>
      <c r="AO48" s="61"/>
      <c r="AP48" s="61"/>
      <c r="AQ48" s="61"/>
      <c r="AR48" s="61"/>
      <c r="AS48" s="61"/>
      <c r="AT48" s="61"/>
      <c r="AU48" s="61"/>
      <c r="AV48" s="61"/>
      <c r="AW48" s="42"/>
    </row>
    <row r="49" spans="31:49" ht="20" customHeight="1" x14ac:dyDescent="0.2">
      <c r="AE49" s="55"/>
      <c r="AF49" s="61"/>
      <c r="AG49" s="78"/>
      <c r="AH49" s="78"/>
      <c r="AI49" s="61"/>
      <c r="AJ49" s="61"/>
      <c r="AK49" s="103"/>
      <c r="AL49" s="103"/>
      <c r="AM49" s="103"/>
      <c r="AN49" s="103"/>
      <c r="AO49" s="61"/>
      <c r="AP49" s="61"/>
      <c r="AQ49" s="61"/>
      <c r="AR49" s="61"/>
      <c r="AS49" s="61"/>
      <c r="AT49" s="61"/>
      <c r="AU49" s="61"/>
      <c r="AV49" s="61"/>
      <c r="AW49" s="42"/>
    </row>
    <row r="50" spans="31:49" ht="20" customHeight="1" x14ac:dyDescent="0.2">
      <c r="AE50" s="55"/>
      <c r="AF50" s="61"/>
      <c r="AG50" s="78"/>
      <c r="AH50" s="78"/>
      <c r="AI50" s="61"/>
      <c r="AJ50" s="61"/>
      <c r="AK50" s="103"/>
      <c r="AL50" s="103"/>
      <c r="AM50" s="103"/>
      <c r="AN50" s="103"/>
      <c r="AO50" s="61"/>
      <c r="AP50" s="61"/>
      <c r="AQ50" s="61"/>
      <c r="AR50" s="61"/>
      <c r="AS50" s="61"/>
      <c r="AT50" s="61"/>
      <c r="AU50" s="61"/>
      <c r="AV50" s="61"/>
      <c r="AW50" s="42"/>
    </row>
    <row r="51" spans="31:49" ht="20" customHeight="1" x14ac:dyDescent="0.2">
      <c r="AE51" s="55"/>
      <c r="AF51" s="61"/>
      <c r="AG51" s="78"/>
      <c r="AH51" s="78"/>
      <c r="AI51" s="61"/>
      <c r="AJ51" s="61"/>
      <c r="AK51" s="103"/>
      <c r="AL51" s="103"/>
      <c r="AM51" s="103"/>
      <c r="AN51" s="103"/>
      <c r="AO51" s="61"/>
      <c r="AP51" s="61"/>
      <c r="AQ51" s="61"/>
      <c r="AR51" s="61"/>
      <c r="AS51" s="61"/>
      <c r="AT51" s="61"/>
      <c r="AU51" s="61"/>
      <c r="AV51" s="61"/>
      <c r="AW51" s="42"/>
    </row>
    <row r="52" spans="31:49" ht="20" customHeight="1" x14ac:dyDescent="0.2">
      <c r="AE52" s="55"/>
      <c r="AF52" s="61"/>
      <c r="AG52" s="78"/>
      <c r="AH52" s="78"/>
      <c r="AI52" s="61"/>
      <c r="AJ52" s="61"/>
      <c r="AK52" s="103"/>
      <c r="AL52" s="103"/>
      <c r="AM52" s="103"/>
      <c r="AN52" s="103"/>
      <c r="AO52" s="61"/>
      <c r="AP52" s="61"/>
      <c r="AQ52" s="61"/>
      <c r="AR52" s="61"/>
      <c r="AS52" s="61"/>
      <c r="AT52" s="61"/>
      <c r="AU52" s="110" t="s">
        <v>85</v>
      </c>
      <c r="AV52" s="111">
        <f>W33</f>
        <v>4029.9999999999982</v>
      </c>
      <c r="AW52" s="42"/>
    </row>
    <row r="53" spans="31:49" ht="20" customHeight="1" x14ac:dyDescent="0.2">
      <c r="AE53" s="55"/>
      <c r="AF53" s="61"/>
      <c r="AG53" s="78"/>
      <c r="AH53" s="78"/>
      <c r="AI53" s="61"/>
      <c r="AJ53" s="61"/>
      <c r="AK53" s="103"/>
      <c r="AL53" s="103"/>
      <c r="AM53" s="103"/>
      <c r="AN53" s="103"/>
      <c r="AO53" s="61"/>
      <c r="AP53" s="61"/>
      <c r="AQ53" s="61"/>
      <c r="AR53" s="61"/>
      <c r="AS53" s="61"/>
      <c r="AT53" s="61"/>
      <c r="AU53" s="61"/>
      <c r="AV53" s="61"/>
      <c r="AW53" s="42"/>
    </row>
    <row r="54" spans="31:49" ht="20" customHeight="1" x14ac:dyDescent="0.2">
      <c r="AE54" s="55"/>
      <c r="AF54" s="61"/>
      <c r="AG54" s="78"/>
      <c r="AH54" s="78"/>
      <c r="AI54" s="61"/>
      <c r="AJ54" s="61"/>
      <c r="AK54" s="103"/>
      <c r="AL54" s="103"/>
      <c r="AM54" s="103"/>
      <c r="AN54" s="103"/>
      <c r="AO54" s="61"/>
      <c r="AP54" s="61"/>
      <c r="AQ54" s="61"/>
      <c r="AR54" s="61"/>
      <c r="AS54" s="61"/>
      <c r="AT54" s="61"/>
      <c r="AU54" s="61"/>
      <c r="AV54" s="61"/>
      <c r="AW54" s="42"/>
    </row>
    <row r="55" spans="31:49" ht="20" customHeight="1" x14ac:dyDescent="0.2">
      <c r="AE55" s="55"/>
      <c r="AF55" s="61"/>
      <c r="AG55" s="78"/>
      <c r="AH55" s="78"/>
      <c r="AI55" s="61"/>
      <c r="AJ55" s="61"/>
      <c r="AK55" s="103"/>
      <c r="AL55" s="103"/>
      <c r="AM55" s="103"/>
      <c r="AN55" s="103"/>
      <c r="AO55" s="61"/>
      <c r="AP55" s="61"/>
      <c r="AQ55" s="61"/>
      <c r="AR55" s="61"/>
      <c r="AS55" s="61"/>
      <c r="AT55" s="61"/>
      <c r="AU55" s="61"/>
      <c r="AV55" s="61"/>
      <c r="AW55" s="42"/>
    </row>
    <row r="56" spans="31:49" ht="20" customHeight="1" x14ac:dyDescent="0.2">
      <c r="AE56" s="55"/>
      <c r="AF56" s="61"/>
      <c r="AG56" s="78"/>
      <c r="AH56" s="78"/>
      <c r="AI56" s="61"/>
      <c r="AJ56" s="61"/>
      <c r="AK56" s="103"/>
      <c r="AL56" s="103"/>
      <c r="AM56" s="103"/>
      <c r="AN56" s="103"/>
      <c r="AO56" s="61"/>
      <c r="AP56" s="61"/>
      <c r="AQ56" s="61"/>
      <c r="AR56" s="61"/>
      <c r="AS56" s="61"/>
      <c r="AT56" s="61"/>
      <c r="AU56" s="61"/>
      <c r="AV56" s="61"/>
      <c r="AW56" s="42"/>
    </row>
    <row r="57" spans="31:49" ht="20" customHeight="1" x14ac:dyDescent="0.2">
      <c r="AE57" s="55"/>
      <c r="AF57" s="61"/>
      <c r="AG57" s="78"/>
      <c r="AH57" s="78"/>
      <c r="AI57" s="61"/>
      <c r="AJ57" s="61"/>
      <c r="AK57" s="103"/>
      <c r="AL57" s="103"/>
      <c r="AM57" s="103"/>
      <c r="AN57" s="103"/>
      <c r="AO57" s="61"/>
      <c r="AP57" s="61"/>
      <c r="AQ57" s="61"/>
      <c r="AR57" s="61"/>
      <c r="AS57" s="61"/>
      <c r="AT57" s="61"/>
      <c r="AU57" s="61"/>
      <c r="AV57" s="61"/>
      <c r="AW57" s="42"/>
    </row>
    <row r="58" spans="31:49" ht="20" customHeight="1" x14ac:dyDescent="0.2">
      <c r="AE58" s="55"/>
      <c r="AF58" s="61"/>
      <c r="AG58" s="78"/>
      <c r="AH58" s="78"/>
      <c r="AI58" s="61"/>
      <c r="AJ58" s="61"/>
      <c r="AK58" s="103"/>
      <c r="AL58" s="103"/>
      <c r="AM58" s="103"/>
      <c r="AN58" s="103"/>
      <c r="AO58" s="61"/>
      <c r="AP58" s="61"/>
      <c r="AQ58" s="61"/>
      <c r="AR58" s="61"/>
      <c r="AS58" s="61"/>
      <c r="AT58" s="61"/>
      <c r="AU58" s="61"/>
      <c r="AV58" s="61"/>
      <c r="AW58" s="42"/>
    </row>
    <row r="59" spans="31:49" ht="20" customHeight="1" x14ac:dyDescent="0.2">
      <c r="AE59" s="95"/>
      <c r="AF59" s="96"/>
      <c r="AG59" s="97"/>
      <c r="AH59" s="97"/>
      <c r="AI59" s="96"/>
      <c r="AJ59" s="96"/>
      <c r="AK59" s="98"/>
      <c r="AL59" s="98"/>
      <c r="AM59" s="98"/>
      <c r="AN59" s="98"/>
      <c r="AO59" s="96"/>
      <c r="AP59" s="96"/>
      <c r="AQ59" s="96"/>
      <c r="AR59" s="96"/>
      <c r="AS59" s="96"/>
      <c r="AT59" s="96"/>
      <c r="AU59" s="96"/>
      <c r="AV59" s="96"/>
      <c r="AW59" s="99"/>
    </row>
  </sheetData>
  <mergeCells count="22">
    <mergeCell ref="AA6:AB6"/>
    <mergeCell ref="AP8:AV8"/>
    <mergeCell ref="AP34:AV34"/>
    <mergeCell ref="AM12:AN12"/>
    <mergeCell ref="AK11:AN11"/>
    <mergeCell ref="T26:U26"/>
    <mergeCell ref="T31:V31"/>
    <mergeCell ref="AK12:AL12"/>
    <mergeCell ref="AI13:AJ13"/>
    <mergeCell ref="AG13:AH13"/>
    <mergeCell ref="D24:D29"/>
    <mergeCell ref="D30:D35"/>
    <mergeCell ref="T12:U12"/>
    <mergeCell ref="C1:N3"/>
    <mergeCell ref="D7:J15"/>
    <mergeCell ref="D21:D23"/>
    <mergeCell ref="T19:U19"/>
    <mergeCell ref="T15:U15"/>
    <mergeCell ref="T22:U22"/>
    <mergeCell ref="T8:U8"/>
    <mergeCell ref="J19:M19"/>
    <mergeCell ref="L6:M7"/>
  </mergeCells>
  <pageMargins left="0.7" right="0.7" top="0.75" bottom="0.75" header="0.3" footer="0.3"/>
  <pageSetup paperSize="9" orientation="portrait" horizontalDpi="0" verticalDpi="0"/>
  <ignoredErrors>
    <ignoredError sqref="K22:L34" formulaRange="1"/>
  </ignoredErrors>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3F609-292E-164E-A751-36DE4F18CCDD}">
  <dimension ref="C1:I21"/>
  <sheetViews>
    <sheetView showGridLines="0" zoomScale="164" workbookViewId="0">
      <selection activeCell="D9" sqref="D9"/>
    </sheetView>
  </sheetViews>
  <sheetFormatPr baseColWidth="10" defaultColWidth="14.83203125" defaultRowHeight="20" customHeight="1" x14ac:dyDescent="0.2"/>
  <cols>
    <col min="1" max="2" width="2.33203125" style="12" customWidth="1"/>
    <col min="3" max="3" width="2.83203125" style="12" customWidth="1"/>
    <col min="4" max="8" width="14.83203125" style="12"/>
    <col min="9" max="9" width="2.6640625" style="12" customWidth="1"/>
    <col min="10" max="16384" width="14.83203125" style="12"/>
  </cols>
  <sheetData>
    <row r="1" spans="3:9" s="5" customFormat="1" ht="20" customHeight="1" x14ac:dyDescent="0.2">
      <c r="C1" s="145" t="s">
        <v>0</v>
      </c>
      <c r="D1" s="145"/>
      <c r="E1" s="145"/>
      <c r="F1" s="145"/>
      <c r="G1" s="145"/>
      <c r="H1" s="145"/>
      <c r="I1" s="145"/>
    </row>
    <row r="2" spans="3:9" s="5" customFormat="1" ht="20" customHeight="1" x14ac:dyDescent="0.2">
      <c r="C2" s="145"/>
      <c r="D2" s="145"/>
      <c r="E2" s="145"/>
      <c r="F2" s="145"/>
      <c r="G2" s="145"/>
      <c r="H2" s="145"/>
      <c r="I2" s="145"/>
    </row>
    <row r="3" spans="3:9" s="5" customFormat="1" ht="20" customHeight="1" x14ac:dyDescent="0.2">
      <c r="C3" s="145"/>
      <c r="D3" s="145"/>
      <c r="E3" s="145"/>
      <c r="F3" s="145"/>
      <c r="G3" s="145"/>
      <c r="H3" s="145"/>
      <c r="I3" s="145"/>
    </row>
    <row r="5" spans="3:9" s="11" customFormat="1" ht="28" customHeight="1" x14ac:dyDescent="0.2">
      <c r="C5" s="4"/>
      <c r="D5" s="3"/>
      <c r="E5" s="2"/>
      <c r="F5" s="2"/>
      <c r="G5" s="2"/>
      <c r="H5" s="2"/>
      <c r="I5" s="1"/>
    </row>
    <row r="6" spans="3:9" ht="20" customHeight="1" x14ac:dyDescent="0.2">
      <c r="C6" s="6"/>
      <c r="D6" s="13"/>
      <c r="E6" s="13"/>
      <c r="F6" s="13"/>
      <c r="G6" s="13"/>
      <c r="H6" s="13"/>
      <c r="I6" s="7"/>
    </row>
    <row r="7" spans="3:9" ht="20" customHeight="1" x14ac:dyDescent="0.2">
      <c r="C7" s="6"/>
      <c r="D7" s="13"/>
      <c r="E7" s="13"/>
      <c r="F7" s="13"/>
      <c r="G7" s="13"/>
      <c r="H7" s="13"/>
      <c r="I7" s="7"/>
    </row>
    <row r="8" spans="3:9" ht="20" customHeight="1" x14ac:dyDescent="0.2">
      <c r="C8" s="6"/>
      <c r="D8" s="13"/>
      <c r="E8" s="13"/>
      <c r="F8" s="13"/>
      <c r="G8" s="13"/>
      <c r="H8" s="13"/>
      <c r="I8" s="7"/>
    </row>
    <row r="9" spans="3:9" ht="20" customHeight="1" x14ac:dyDescent="0.2">
      <c r="C9" s="6"/>
      <c r="D9" s="13"/>
      <c r="E9" s="13"/>
      <c r="F9" s="13"/>
      <c r="G9" s="13"/>
      <c r="H9" s="13"/>
      <c r="I9" s="7"/>
    </row>
    <row r="10" spans="3:9" ht="20" customHeight="1" x14ac:dyDescent="0.2">
      <c r="C10" s="6"/>
      <c r="D10" s="13"/>
      <c r="E10" s="13"/>
      <c r="F10" s="13"/>
      <c r="G10" s="13"/>
      <c r="H10" s="13"/>
      <c r="I10" s="7"/>
    </row>
    <row r="11" spans="3:9" ht="20" customHeight="1" x14ac:dyDescent="0.2">
      <c r="C11" s="6"/>
      <c r="D11" s="13"/>
      <c r="E11" s="13"/>
      <c r="F11" s="13"/>
      <c r="G11" s="13"/>
      <c r="H11" s="13"/>
      <c r="I11" s="7"/>
    </row>
    <row r="12" spans="3:9" ht="20" customHeight="1" x14ac:dyDescent="0.2">
      <c r="C12" s="6"/>
      <c r="D12" s="13"/>
      <c r="E12" s="13"/>
      <c r="F12" s="14"/>
      <c r="G12" s="13"/>
      <c r="H12" s="13"/>
      <c r="I12" s="7"/>
    </row>
    <row r="13" spans="3:9" ht="20" customHeight="1" x14ac:dyDescent="0.2">
      <c r="C13" s="6"/>
      <c r="D13" s="13"/>
      <c r="E13" s="13"/>
      <c r="F13" s="13"/>
      <c r="G13" s="13"/>
      <c r="H13" s="13"/>
      <c r="I13" s="7"/>
    </row>
    <row r="14" spans="3:9" ht="20" customHeight="1" x14ac:dyDescent="0.2">
      <c r="C14" s="6"/>
      <c r="D14" s="13"/>
      <c r="E14" s="13"/>
      <c r="F14" s="13"/>
      <c r="G14" s="13"/>
      <c r="H14" s="13"/>
      <c r="I14" s="7"/>
    </row>
    <row r="15" spans="3:9" ht="20" customHeight="1" x14ac:dyDescent="0.2">
      <c r="C15" s="6"/>
      <c r="D15" s="13"/>
      <c r="E15" s="13"/>
      <c r="F15" s="13"/>
      <c r="G15" s="13"/>
      <c r="H15" s="13"/>
      <c r="I15" s="7"/>
    </row>
    <row r="16" spans="3:9" ht="20" customHeight="1" x14ac:dyDescent="0.2">
      <c r="C16" s="6"/>
      <c r="D16" s="13"/>
      <c r="E16" s="13"/>
      <c r="F16" s="13"/>
      <c r="G16" s="13"/>
      <c r="H16" s="13"/>
      <c r="I16" s="7"/>
    </row>
    <row r="17" spans="3:9" ht="20" customHeight="1" x14ac:dyDescent="0.2">
      <c r="C17" s="6"/>
      <c r="D17" s="13"/>
      <c r="E17" s="13"/>
      <c r="F17" s="13"/>
      <c r="G17" s="13"/>
      <c r="H17" s="13"/>
      <c r="I17" s="7"/>
    </row>
    <row r="18" spans="3:9" ht="20" customHeight="1" x14ac:dyDescent="0.2">
      <c r="C18" s="6"/>
      <c r="D18" s="13"/>
      <c r="E18" s="13"/>
      <c r="F18" s="13"/>
      <c r="G18" s="13"/>
      <c r="H18" s="13"/>
      <c r="I18" s="7"/>
    </row>
    <row r="19" spans="3:9" ht="20" customHeight="1" x14ac:dyDescent="0.2">
      <c r="C19" s="6"/>
      <c r="D19" s="13"/>
      <c r="E19" s="13"/>
      <c r="F19" s="13"/>
      <c r="G19" s="13"/>
      <c r="H19" s="13"/>
      <c r="I19" s="7"/>
    </row>
    <row r="20" spans="3:9" ht="20" customHeight="1" x14ac:dyDescent="0.2">
      <c r="C20" s="6"/>
      <c r="D20" s="13"/>
      <c r="E20" s="13"/>
      <c r="F20" s="13"/>
      <c r="G20" s="13"/>
      <c r="H20" s="13"/>
      <c r="I20" s="7"/>
    </row>
    <row r="21" spans="3:9" ht="20" customHeight="1" x14ac:dyDescent="0.2">
      <c r="C21" s="8"/>
      <c r="D21" s="9"/>
      <c r="E21" s="9"/>
      <c r="F21" s="9"/>
      <c r="G21" s="9"/>
      <c r="H21" s="9"/>
      <c r="I21" s="10"/>
    </row>
  </sheetData>
  <mergeCells count="1">
    <mergeCell ref="C1:I3"/>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16</vt:i4>
      </vt:variant>
    </vt:vector>
  </HeadingPairs>
  <TitlesOfParts>
    <vt:vector size="18" baseType="lpstr">
      <vt:lpstr>DSA_What-If</vt:lpstr>
      <vt:lpstr>Blank Sheet</vt:lpstr>
      <vt:lpstr>HCed</vt:lpstr>
      <vt:lpstr>HCedC</vt:lpstr>
      <vt:lpstr>HCedLE</vt:lpstr>
      <vt:lpstr>HCldC</vt:lpstr>
      <vt:lpstr>HCldLE</vt:lpstr>
      <vt:lpstr>ID</vt:lpstr>
      <vt:lpstr>PCed</vt:lpstr>
      <vt:lpstr>PCedC</vt:lpstr>
      <vt:lpstr>PCedLE</vt:lpstr>
      <vt:lpstr>PCldC</vt:lpstr>
      <vt:lpstr>PCldLE</vt:lpstr>
      <vt:lpstr>RPed</vt:lpstr>
      <vt:lpstr>RPedC</vt:lpstr>
      <vt:lpstr>RPedLE</vt:lpstr>
      <vt:lpstr>RPldC</vt:lpstr>
      <vt:lpstr>RPldLE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Yundi L (Dylan)</dc:creator>
  <cp:keywords/>
  <dc:description/>
  <cp:lastModifiedBy>Yundi L</cp:lastModifiedBy>
  <dcterms:created xsi:type="dcterms:W3CDTF">2026-08-05T08:48:14Z</dcterms:created>
  <dcterms:modified xsi:type="dcterms:W3CDTF">2026-10-16T09:24:23Z</dcterms:modified>
  <cp:category/>
</cp:coreProperties>
</file>